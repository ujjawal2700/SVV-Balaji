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Gantt Chart" sheetId="1" state="visible" r:id="rId3"/>
    <sheet name="2. Schedule Baseline" sheetId="2" state="visible" r:id="rId4"/>
    <sheet name="3. Weekly Progress" sheetId="3" state="visible" r:id="rId5"/>
    <sheet name="4. Action Track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<sst xmlns="http://schemas.openxmlformats.org/spreadsheetml/2006/main" count="640" uniqueCount="298">
  <si>
    <t xml:space="preserve">SVV BALAJI - PROJECT GANTT CHART</t>
  </si>
  <si>
    <t xml:space="preserve">Revised 19-Aug-2026. Week 1 commenced 04-Aug-2026. Amber bars are B2C activities added by Decision 1 and are conditional on written agreement of cost and timeline (action A-10). Red line marks the current reporting week. Start / Finish columns remain the agreed baseline (A-01) and are deliberately not moved when an activity finishes early - the bar shows the plan, the % Done column shows reality against it.</t>
  </si>
  <si>
    <t xml:space="preserve">04-Aug</t>
  </si>
  <si>
    <t xml:space="preserve">11-Aug</t>
  </si>
  <si>
    <t xml:space="preserve">18-Aug</t>
  </si>
  <si>
    <t xml:space="preserve">25-Aug</t>
  </si>
  <si>
    <t xml:space="preserve">01-Sep</t>
  </si>
  <si>
    <t xml:space="preserve">08-Sep</t>
  </si>
  <si>
    <t xml:space="preserve">15-Sep</t>
  </si>
  <si>
    <t xml:space="preserve">22-Sep</t>
  </si>
  <si>
    <t xml:space="preserve">29-Sep</t>
  </si>
  <si>
    <t xml:space="preserve">06-Oct</t>
  </si>
  <si>
    <t xml:space="preserve">13-Oct</t>
  </si>
  <si>
    <t xml:space="preserve">20-Oct</t>
  </si>
  <si>
    <t xml:space="preserve">27-Oct</t>
  </si>
  <si>
    <t xml:space="preserve">03-Nov</t>
  </si>
  <si>
    <t xml:space="preserve">10-Nov</t>
  </si>
  <si>
    <t xml:space="preserve">17-Nov</t>
  </si>
  <si>
    <t xml:space="preserve">24-Nov</t>
  </si>
  <si>
    <t xml:space="preserve">01-Dec</t>
  </si>
  <si>
    <t xml:space="preserve">08-Dec</t>
  </si>
  <si>
    <t xml:space="preserve">15-Dec</t>
  </si>
  <si>
    <t xml:space="preserve">22-Dec</t>
  </si>
  <si>
    <t xml:space="preserve">WBS</t>
  </si>
  <si>
    <t xml:space="preserve">Activity</t>
  </si>
  <si>
    <t xml:space="preserve">Owner</t>
  </si>
  <si>
    <t xml:space="preserve">Start</t>
  </si>
  <si>
    <t xml:space="preserve">Finish</t>
  </si>
  <si>
    <t xml:space="preserve">% Done</t>
  </si>
  <si>
    <t xml:space="preserve">Status</t>
  </si>
  <si>
    <t xml:space="preserve">WS1</t>
  </si>
  <si>
    <t xml:space="preserve">BACKEND API / PLATFORM</t>
  </si>
  <si>
    <t xml:space="preserve">WS1.1</t>
  </si>
  <si>
    <t xml:space="preserve">Foundation: architecture, auth, roles &amp; permissions, CI</t>
  </si>
  <si>
    <t xml:space="preserve">Ujjawal</t>
  </si>
  <si>
    <t xml:space="preserve">Complete</t>
  </si>
  <si>
    <t xml:space="preserve">WS1.2</t>
  </si>
  <si>
    <t xml:space="preserve">Farm sourcing: farmer registry, traceability ID, agreements, seed, training, field monitoring</t>
  </si>
  <si>
    <t xml:space="preserve">WS1.3</t>
  </si>
  <si>
    <t xml:space="preserve">Procurement: planning, harvest inspection, collection, batching, warehouse &amp; inventory</t>
  </si>
  <si>
    <t xml:space="preserve">WS1.4</t>
  </si>
  <si>
    <t xml:space="preserve">Processing: cleaning/grading, recipes, production, QA, packaging, finished goods</t>
  </si>
  <si>
    <t xml:space="preserve">WS1.5</t>
  </si>
  <si>
    <t xml:space="preserve">Sales &amp; order fulfilment (B2B), dispatch &amp; delivery - channel-aware order model</t>
  </si>
  <si>
    <t xml:space="preserve">In progress</t>
  </si>
  <si>
    <t xml:space="preserve">WS1.6</t>
  </si>
  <si>
    <t xml:space="preserve">Channel pricing engine: dated price lists per channel (B2B / B2C)  [NEW - Decision 1]</t>
  </si>
  <si>
    <t xml:space="preserve">WS1.7</t>
  </si>
  <si>
    <t xml:space="preserve">Consumer (B2C) commerce APIs: accounts, cart, checkout, order tracking  [NEW - Decision 1]</t>
  </si>
  <si>
    <t xml:space="preserve">Conditional</t>
  </si>
  <si>
    <t xml:space="preserve">WS1.8</t>
  </si>
  <si>
    <t xml:space="preserve">Customer feedback, complaints &amp; analytics</t>
  </si>
  <si>
    <t xml:space="preserve">Not started</t>
  </si>
  <si>
    <t xml:space="preserve">WS1.9</t>
  </si>
  <si>
    <t xml:space="preserve">Notifications, document management &amp; reporting engine</t>
  </si>
  <si>
    <t xml:space="preserve">WS2</t>
  </si>
  <si>
    <t xml:space="preserve">ADMIN WEB PANEL (FRONTEND)</t>
  </si>
  <si>
    <t xml:space="preserve">WS2.1</t>
  </si>
  <si>
    <t xml:space="preserve">Panel scaffolding, auth, role-based navigation</t>
  </si>
  <si>
    <t xml:space="preserve">Raunak</t>
  </si>
  <si>
    <t xml:space="preserve">WS2.2</t>
  </si>
  <si>
    <t xml:space="preserve">Master data, farmer &amp; channel pricing screens</t>
  </si>
  <si>
    <t xml:space="preserve">WS2.3</t>
  </si>
  <si>
    <t xml:space="preserve">Procurement, warehouse &amp; inventory screens</t>
  </si>
  <si>
    <t xml:space="preserve">WS2.4</t>
  </si>
  <si>
    <t xml:space="preserve">Production, recipe &amp; quality screens</t>
  </si>
  <si>
    <t xml:space="preserve">WS2.5</t>
  </si>
  <si>
    <t xml:space="preserve">Sales, dispatch &amp; delivery screens (channel-aware)</t>
  </si>
  <si>
    <t xml:space="preserve">WS2.6</t>
  </si>
  <si>
    <t xml:space="preserve">Dashboards, reports &amp; analytics screens</t>
  </si>
  <si>
    <t xml:space="preserve">WS3</t>
  </si>
  <si>
    <t xml:space="preserve">MOBILE APPS &amp; CONSUMER CHANNEL</t>
  </si>
  <si>
    <t xml:space="preserve">WS3.1</t>
  </si>
  <si>
    <t xml:space="preserve">Agriculture Expert app (offline field visits, crop monitoring, training logs)</t>
  </si>
  <si>
    <t xml:space="preserve">WS3.2</t>
  </si>
  <si>
    <t xml:space="preserve">Sales Executive app (B2B order capture)</t>
  </si>
  <si>
    <t xml:space="preserve">WS3.3</t>
  </si>
  <si>
    <t xml:space="preserve">Warehouse app (stock, batch scanning)</t>
  </si>
  <si>
    <t xml:space="preserve">WS3.4</t>
  </si>
  <si>
    <t xml:space="preserve">Delivery app (route, OTP, proof of delivery)</t>
  </si>
  <si>
    <t xml:space="preserve">WS3.5</t>
  </si>
  <si>
    <t xml:space="preserve">Consumer app / website (B2C): browse, cart, accounts, tracking, QR scan  [NEW - Decision 1]</t>
  </si>
  <si>
    <t xml:space="preserve">WS4</t>
  </si>
  <si>
    <t xml:space="preserve">INTEGRATIONS &amp; INFRASTRUCTURE</t>
  </si>
  <si>
    <t xml:space="preserve">WS4.1</t>
  </si>
  <si>
    <t xml:space="preserve">Cloud object storage (photos, documents, video)</t>
  </si>
  <si>
    <t xml:space="preserve">WS4.2</t>
  </si>
  <si>
    <t xml:space="preserve">WhatsApp Business API (via BSP)</t>
  </si>
  <si>
    <t xml:space="preserve">WS4.3</t>
  </si>
  <si>
    <t xml:space="preserve">SMS / OTP gateway</t>
  </si>
  <si>
    <t xml:space="preserve">WS4.4</t>
  </si>
  <si>
    <t xml:space="preserve">GST e-invoicing (IRN/IRP) &amp; e-way bill via GST Suvidha Provider</t>
  </si>
  <si>
    <t xml:space="preserve">WS4.5</t>
  </si>
  <si>
    <t xml:space="preserve">Payment gateway - Razorpay (B2C confirmed, was on hold)</t>
  </si>
  <si>
    <t xml:space="preserve">WS5</t>
  </si>
  <si>
    <t xml:space="preserve">QUALITY, DEPLOYMENT &amp; HANDOVER</t>
  </si>
  <si>
    <t xml:space="preserve">WS5.1</t>
  </si>
  <si>
    <t xml:space="preserve">Automated test suite &amp; continuous integration</t>
  </si>
  <si>
    <t xml:space="preserve">WS5.2</t>
  </si>
  <si>
    <t xml:space="preserve">Staging environment &amp; deployment pipeline</t>
  </si>
  <si>
    <t xml:space="preserve">WS5.3</t>
  </si>
  <si>
    <t xml:space="preserve">Data migration (existing customer &amp; product masters)</t>
  </si>
  <si>
    <t xml:space="preserve">WS5.4</t>
  </si>
  <si>
    <t xml:space="preserve">User acceptance testing (UAT) with SVV Balaji - B2B</t>
  </si>
  <si>
    <t xml:space="preserve">Joint</t>
  </si>
  <si>
    <t xml:space="preserve">WS5.5</t>
  </si>
  <si>
    <t xml:space="preserve">Backups, monitoring &amp; disaster recovery</t>
  </si>
  <si>
    <t xml:space="preserve">WS5.6</t>
  </si>
  <si>
    <t xml:space="preserve">Training &amp; handover</t>
  </si>
  <si>
    <t xml:space="preserve">WS5.7</t>
  </si>
  <si>
    <t xml:space="preserve">Go-live &amp; hypercare - B2B launch</t>
  </si>
  <si>
    <t xml:space="preserve">WS5.8</t>
  </si>
  <si>
    <t xml:space="preserve">B2C UAT &amp; consumer channel launch  [NEW - Decision 1]</t>
  </si>
  <si>
    <t xml:space="preserve">LEGEND</t>
  </si>
  <si>
    <t xml:space="preserve">In progress / planned</t>
  </si>
  <si>
    <t xml:space="preserve">Blocked - awaiting client decision</t>
  </si>
  <si>
    <t xml:space="preserve">B2C scope - conditional on A-10 (cost &amp; timeline agreement)</t>
  </si>
  <si>
    <t xml:space="preserve">Red vertical line = current reporting week (w/c 18-Aug-2026)</t>
  </si>
  <si>
    <t xml:space="preserve">Bars are formula-driven: edit the Start / Finish week columns and the chart updates automatically.</t>
  </si>
  <si>
    <t xml:space="preserve">SVV BALAJI - REVISED ACTIVITY-WISE SCHEDULE BASELINE</t>
  </si>
  <si>
    <t xml:space="preserve">Revised 11-Aug-2026. Decision 1 (both B2B and B2C sales channels with separate pricing) adds four activities beyond the signed scope of work: WS1.6, WS1.7, WS3.5 and WS5.8, plus activation of WS4.5.</t>
  </si>
  <si>
    <t xml:space="preserve">Weeks are numbered from Week 1 commencing 04-Aug-2026. B2C activities extend the programme to Week 21 and are conditional on written agreement of cost and timeline (action A-10). The B2B launch remains at Week 18. Planned start / finish weeks are the agreed baseline and are not revised when an activity delivers early; % Complete carries the actual position. Progress updated 19-Aug-2026.</t>
  </si>
  <si>
    <t xml:space="preserve">Workstream / Activity</t>
  </si>
  <si>
    <t xml:space="preserve">FRD Ref</t>
  </si>
  <si>
    <t xml:space="preserve">Planned Start (Wk)</t>
  </si>
  <si>
    <t xml:space="preserve">Planned Finish (Wk)</t>
  </si>
  <si>
    <t xml:space="preserve">Weight %</t>
  </si>
  <si>
    <t xml:space="preserve">% Complete</t>
  </si>
  <si>
    <t xml:space="preserve">FRD 5,6</t>
  </si>
  <si>
    <t xml:space="preserve">W1</t>
  </si>
  <si>
    <t xml:space="preserve">FRD 7-12</t>
  </si>
  <si>
    <t xml:space="preserve">W2</t>
  </si>
  <si>
    <t xml:space="preserve">FRD 13-17</t>
  </si>
  <si>
    <t xml:space="preserve">W3</t>
  </si>
  <si>
    <t xml:space="preserve">FRD 18-23</t>
  </si>
  <si>
    <t xml:space="preserve">W4</t>
  </si>
  <si>
    <t xml:space="preserve">FRD 24-28</t>
  </si>
  <si>
    <t xml:space="preserve">W5</t>
  </si>
  <si>
    <t xml:space="preserve">FRD 24-26</t>
  </si>
  <si>
    <t xml:space="preserve">FRD 29-30</t>
  </si>
  <si>
    <t xml:space="preserve">W7</t>
  </si>
  <si>
    <t xml:space="preserve">FRD 31-34</t>
  </si>
  <si>
    <t xml:space="preserve">W8</t>
  </si>
  <si>
    <t xml:space="preserve">FRD 33-35</t>
  </si>
  <si>
    <t xml:space="preserve">W9</t>
  </si>
  <si>
    <t xml:space="preserve">FRD 5</t>
  </si>
  <si>
    <t xml:space="preserve">FRD 6-12</t>
  </si>
  <si>
    <t xml:space="preserve">W6</t>
  </si>
  <si>
    <t xml:space="preserve">W10</t>
  </si>
  <si>
    <t xml:space="preserve">W12</t>
  </si>
  <si>
    <t xml:space="preserve">FRD 34</t>
  </si>
  <si>
    <t xml:space="preserve">W13</t>
  </si>
  <si>
    <t xml:space="preserve">FRD 12</t>
  </si>
  <si>
    <t xml:space="preserve">FRD 24</t>
  </si>
  <si>
    <t xml:space="preserve">W14</t>
  </si>
  <si>
    <t xml:space="preserve">FRD 16-17</t>
  </si>
  <si>
    <t xml:space="preserve">FRD 27-28</t>
  </si>
  <si>
    <t xml:space="preserve">W15</t>
  </si>
  <si>
    <t xml:space="preserve">FRD 29-32</t>
  </si>
  <si>
    <t xml:space="preserve">W17</t>
  </si>
  <si>
    <t xml:space="preserve">FRD 35</t>
  </si>
  <si>
    <t xml:space="preserve">FRD 33</t>
  </si>
  <si>
    <t xml:space="preserve">FRD 28,33</t>
  </si>
  <si>
    <t xml:space="preserve">FRD 26</t>
  </si>
  <si>
    <t xml:space="preserve">-</t>
  </si>
  <si>
    <t xml:space="preserve">W16</t>
  </si>
  <si>
    <t xml:space="preserve">W18</t>
  </si>
  <si>
    <t xml:space="preserve">W19</t>
  </si>
  <si>
    <t xml:space="preserve">W21</t>
  </si>
  <si>
    <t xml:space="preserve">TOTAL WEIGHTED PROJECT COMPLETION</t>
  </si>
  <si>
    <t xml:space="preserve">Weight validation (must equal 100%)</t>
  </si>
  <si>
    <t xml:space="preserve">Weight % reflects estimated share of total project effort, revised for the added B2C scope.</t>
  </si>
  <si>
    <t xml:space="preserve">Yellow rows are B2C activities added by Decision 1 - not in the signed scope of work.</t>
  </si>
  <si>
    <t xml:space="preserve">WEEKLY PROGRESS REPORT - WEEK 3, UPDATED 19-AUG-2026</t>
  </si>
  <si>
    <t xml:space="preserve">Planned % (this wk)</t>
  </si>
  <si>
    <t xml:space="preserve">Actual % (this wk)</t>
  </si>
  <si>
    <t xml:space="preserve">Variance</t>
  </si>
  <si>
    <t xml:space="preserve">Schedule Status</t>
  </si>
  <si>
    <t xml:space="preserve">Evidence / Deliverable</t>
  </si>
  <si>
    <t xml:space="preserve">Remarks</t>
  </si>
  <si>
    <t xml:space="preserve">Foundation: auth, roles, permissions, CI</t>
  </si>
  <si>
    <t xml:space="preserve">On schedule</t>
  </si>
  <si>
    <t xml:space="preserve">Swagger API docs; 50 automated tests passing</t>
  </si>
  <si>
    <t xml:space="preserve">Complete and verified</t>
  </si>
  <si>
    <t xml:space="preserve">Farm sourcing &amp; farmer traceability</t>
  </si>
  <si>
    <t xml:space="preserve">Ahead of schedule</t>
  </si>
  <si>
    <t xml:space="preserve">Live demo: farmer approval issues SVV-2026-NNNNNN code + QR/barcode</t>
  </si>
  <si>
    <t xml:space="preserve">Complete. Training records confirmed as executive-entered - no farmer app required</t>
  </si>
  <si>
    <t xml:space="preserve">Procurement, batching, warehouse &amp; inventory</t>
  </si>
  <si>
    <t xml:space="preserve">Live demo: RM-YYYYMMDD-NNN batch generation; inventory ledger</t>
  </si>
  <si>
    <t xml:space="preserve">Complete ahead of plan</t>
  </si>
  <si>
    <t xml:space="preserve">Processing, recipes, QA, packaging</t>
  </si>
  <si>
    <t xml:space="preserve">Live demo: full trace from finished pack to farmer</t>
  </si>
  <si>
    <t xml:space="preserve">Complete ahead of plan. Multigrain production unblocked and enforcing as of 14-Aug (A-05): blend ratio checked against the approved recipe on every run.</t>
  </si>
  <si>
    <t xml:space="preserve">Sales &amp; order fulfilment (B2B), dispatch &amp; delivery</t>
  </si>
  <si>
    <t xml:space="preserve">Order model live end to end: draft, placement with re-pricing, confirmation, batch-wise allocation, pack, dispatch and delivery</t>
  </si>
  <si>
    <t xml:space="preserve">A-13 answered 16-Aug and built. Orders now hold a DRAFT state, finished-goods stock moves against the same movement ledger raw material has always used, and a cancelled order keeps its allocation rows marked released rather than deleting them. Dispatch and delivery timestamps added 19-Aug (see A-14) - without them no delivery-performance report is computable, and a timestamp cannot be backfilled. Remaining 20% is invoicing and the e-way bill hand-off, which wait on A-11.</t>
  </si>
  <si>
    <t xml:space="preserve">Channel pricing engine (B2B / B2C)</t>
  </si>
  <si>
    <t xml:space="preserve">Live: dated price rules per channel and customer type, quantity breaks, supersede endpoint, resolve endpoint and a B2B/B2C comparison per product</t>
  </si>
  <si>
    <t xml:space="preserve">Complete. A rate is never edited in place: superseding closes the current rule and opens a new one, so an invoice raised in June still reproduces June's price years later. Prices are frozen onto the order line at placement, not at draft, so a draft parked for a week cannot lock in a stale rate.</t>
  </si>
  <si>
    <t xml:space="preserve">Consumer (B2C) commerce APIs</t>
  </si>
  <si>
    <t xml:space="preserve">NEW - not in signed SOW. Held pending A-10 cost &amp; timeline agreement</t>
  </si>
  <si>
    <t xml:space="preserve">Admin panel scaffolding, auth, role-based navigation</t>
  </si>
  <si>
    <t xml:space="preserve">Live panel: sign-in, session refresh, role-filtered menu across 25 screens</t>
  </si>
  <si>
    <t xml:space="preserve">Complete. Also added the missing /auth/refresh, /auth/logout and /auth/me endpoints, without which no client could hold a session beyond 15 minutes.</t>
  </si>
  <si>
    <t xml:space="preserve">Live screens: branches, users, farmers (registration, approval, QR/barcode), agreements, seed distribution, training, field visits, and multi-plot land profiling per farmer</t>
  </si>
  <si>
    <t xml:space="preserve">Complete - the outstanding product and channel-pricing screens landed with WS2.5. Land profiling added 16-Aug: a farmer can hold several plots, each with survey number, soil, irrigation, crop and GPS, and the plot now carries through harvest inspection into the collection and batch, so the consumer trace page resolves to a field rather than only to a farmer.</t>
  </si>
  <si>
    <t xml:space="preserve">Live screens: procurement plans, harvest inspections, collections, raw material batches with upstream trace, warehouses with per-unit occupancy, batch-wise stock (in/out/transfer/adjust) and the append-only movement ledger</t>
  </si>
  <si>
    <t xml:space="preserve">Complete - 6 weeks ahead of baseline. Quality gates surfaced in the UI: only approved farmers can be inspected, only approved inspections collected, and reserved stock cannot be withdrawn. Pending manual test.</t>
  </si>
  <si>
    <t xml:space="preserve">Live screens: products with B2B/B2C pricing, recipes with versioning and approval, cleaning &amp; grading, production batches with per-batch consumption, quality inspections across all three stages, finished goods with QA release, label printing and stock-in</t>
  </si>
  <si>
    <t xml:space="preserve">Complete - 8 weeks ahead of baseline. Panel is 22 of 25 screens. Recipe composition rules and quality gates are enforced in the forms, not discovered through server errors. Multigrain production live as of 14-Aug with a blend worksheet showing the required quantity per grain. Pending manual test.</t>
  </si>
  <si>
    <t xml:space="preserve">Live screens: customers (one registry across both channels, with credit headroom per B2B account), price lists (dated rules, changed by superseding only), orders (draft through delivery, with the allocated batches shown as the picking slip)</t>
  </si>
  <si>
    <t xml:space="preserve">Complete - 9 weeks ahead of baseline. The admin panel is now 27 of 27 screens; nothing renders a placeholder. Channel is chosen at customer registration and cannot be changed afterwards, because it decides which price list every future order of theirs resolves against. Allocation is a server action rather than a form: it picks batches first-expiry-first-out from QA-released stock, which the panel could not do correctly on its own.</t>
  </si>
  <si>
    <t xml:space="preserve">Live screen: farm-to-fork trace, now showing plot-level origin. FRD 34 audited line by line 19-Aug</t>
  </si>
  <si>
    <t xml:space="preserve">Traceability screen built early for client demonstration. Section 34 names roughly forty reports across nine families; thirty-five are answerable from data already captured. Five are not, and the audit is issued as SVV_Balaji_FRD34_Reporting_Gaps.md - one of the five (delivery timing) was closed immediately rather than raised, because a timestamp is the only kind of data that cannot be reconstructed later. The other three are questions for the client, tracked as A-14. Reporting module build starts once the current build passes.</t>
  </si>
  <si>
    <t xml:space="preserve">Agriculture Expert app (field visits, crop monitoring, training logs)</t>
  </si>
  <si>
    <t xml:space="preserve">Installable app at /field with its own login and home-screen icon: today's schedule, farmer onboarding with land profiling, seed distribution, field visits, training sessions and the harvest inspection gate</t>
  </si>
  <si>
    <t xml:space="preserve">Built 15-16 Aug as a separate front end rather than a Flutter app - one codebase for validation rules, no app store, installs to the phone home screen from the browser. Camera capture and client-side image compression are in, so a 4 MB field photo uploads as roughly 380 KB over rural mobile data. Remaining 40% is offline capture: a service worker plus a queued write path, which is real work and is the only part of the original brief a website does not get for free.</t>
  </si>
  <si>
    <t xml:space="preserve">Consumer app / website (B2C)</t>
  </si>
  <si>
    <t xml:space="preserve">NEW - not in signed SOW. Held pending A-10</t>
  </si>
  <si>
    <t xml:space="preserve">Cloud object storage</t>
  </si>
  <si>
    <t xml:space="preserve">Live: every photo and document in the system uploads through one interface - farmer KYC, inspection photos, field visit evidence, training materials</t>
  </si>
  <si>
    <t xml:space="preserve">No longer blocking. Interim account in use since 14-Aug, with credentials held only in the backend environment file and in no document, chart or repository file. Storage sits behind a single abstract class, so changing provider is one class and one line. A-04 remains open on ownership and permanence, not capability.</t>
  </si>
  <si>
    <t xml:space="preserve">GST e-invoicing &amp; e-way bill via GSP</t>
  </si>
  <si>
    <t xml:space="preserve">UNBLOCKED 11-Aug by Decision 2. Awaiting GSP vendor + credentials (A-11)</t>
  </si>
  <si>
    <t xml:space="preserve">Payment gateway (Razorpay)</t>
  </si>
  <si>
    <t xml:space="preserve">Moved from On hold to in scope - B2C requires online collection</t>
  </si>
  <si>
    <t xml:space="preserve">Automated test suite &amp; CI</t>
  </si>
  <si>
    <t xml:space="preserve">50 unit tests + 90 integration checks, all passing</t>
  </si>
  <si>
    <t xml:space="preserve">Ongoing throughout project</t>
  </si>
  <si>
    <t xml:space="preserve">OVERALL PROJECT COMPLETION (weighted)</t>
  </si>
  <si>
    <t xml:space="preserve">Frontend is complete against the current scope and running well ahead of baseline. The admin panel is 27 of 27 screens - WS2.1 through WS2.5 all complete, between 4 and 9 weeks earlier than the proposed schedule - and the Agriculture Expert app is live as an installable field app. Role-based access was rebuilt on 16-Aug so a Super Admin can grant any page to any role from the panel without a redeploy; on a project where who does what will keep changing, that was a release cycle per administrative decision. Only WS2.6 (dashboards and reports) remains open in the panel workstream.</t>
  </si>
  <si>
    <t xml:space="preserve">No activity is DELAYED. A-13 CLOSED 16-Aug and is built. A-14 raised 19-Aug covering three reporting inputs FRD 34 assumes and the system does not capture - production cost, machine utilisation and the credit-period start date; the fourth gap, delivery timing, was closed the same day rather than raised. A-12 (pagination and response envelope) is now 6 days past its target with no pagination DTO in the backend: all 27 panel screens absorb it through an adapter so nothing is blocked, but the movement ledger, production and quality lists grow monotonically and will be the first to become unusable on production data. A-04 remains open on storage ownership. A-10 and A-11 both passed their 18-Aug target and are now overdue.</t>
  </si>
  <si>
    <t xml:space="preserve">CONSOLIDATED ACTION TRACKER</t>
  </si>
  <si>
    <t xml:space="preserve">Open actions remain on this tracker until formally closed. Ageing is calculated automatically from the date raised. A-02 and A-03 closed 11-Aug-2026; A-05 closed 14-Aug; A-13 closed 16-Aug. A-14 raised 19-Aug-2026.</t>
  </si>
  <si>
    <t xml:space="preserve">Ref</t>
  </si>
  <si>
    <t xml:space="preserve">Action Item</t>
  </si>
  <si>
    <t xml:space="preserve">Raised On</t>
  </si>
  <si>
    <t xml:space="preserve">Responsible</t>
  </si>
  <si>
    <t xml:space="preserve">Target Date</t>
  </si>
  <si>
    <t xml:space="preserve">Ageing (days)</t>
  </si>
  <si>
    <t xml:space="preserve">Priority</t>
  </si>
  <si>
    <t xml:space="preserve">Closure Remarks</t>
  </si>
  <si>
    <t xml:space="preserve">A-01</t>
  </si>
  <si>
    <t xml:space="preserve">Approve the revised activity-wise schedule baseline (Sheet 2) so future reporting has an agreed reference</t>
  </si>
  <si>
    <t xml:space="preserve">SVV Balaji</t>
  </si>
  <si>
    <t xml:space="preserve">Open</t>
  </si>
  <si>
    <t xml:space="preserve">Critical</t>
  </si>
  <si>
    <t xml:space="preserve">Baseline revised 11-Aug for the added B2C scope - please review the revision</t>
  </si>
  <si>
    <t xml:space="preserve">A-02</t>
  </si>
  <si>
    <t xml:space="preserve">Decision 1: confirm sales channel scope - B2B only, or consumer/marketplace channels also</t>
  </si>
  <si>
    <t xml:space="preserve">Closed</t>
  </si>
  <si>
    <t xml:space="preserve">CLOSED 11-Aug-2026. Both B2B and B2C confirmed, with separate pricing per channel. Scope impact raised as A-10</t>
  </si>
  <si>
    <t xml:space="preserve">A-03</t>
  </si>
  <si>
    <t xml:space="preserve">Decision 2: confirm GST e-invoicing applicability and preferred provider</t>
  </si>
  <si>
    <t xml:space="preserve">SVV Balaji - Finance</t>
  </si>
  <si>
    <t xml:space="preserve">CLOSED 11-Aug-2026. GST Suvidha Provider route approved. Vendor and credentials now tracked as A-11</t>
  </si>
  <si>
    <t xml:space="preserve">A-04</t>
  </si>
  <si>
    <t xml:space="preserve">Decision 3: approve cloud object storage provider and confirm whether QR process videos are required</t>
  </si>
  <si>
    <t xml:space="preserve">2026-08-21</t>
  </si>
  <si>
    <t xml:space="preserve">Escalation note issued 14-Aug (SVV_Balaji_A04_Storage_Decision_Note.md), target moved to 21-Aug. NO LONGER BLOCKING: an interim Cloudinary account is in use from 14-Aug, so the field executive module and all photo capture ship on schedule. Storage sits behind a single interface in the codebase, so switching provider later is one class and one line. The open question is now ownership and permanence rather than capability - the account must be opened in SVV Balaji's name so media and billing belong to the client. Also needs a retention and access policy for farmer KYC images (Aadhaar, PAN), which shapes access control not just storage.</t>
  </si>
  <si>
    <t xml:space="preserve">A-05</t>
  </si>
  <si>
    <t xml:space="preserve">Decision 4: confirm multigrain (blended) production is in scope</t>
  </si>
  <si>
    <t xml:space="preserve">High</t>
  </si>
  <si>
    <t xml:space="preserve">CLOSED 14-Aug-2026. Multigrain (blended) production confirmed in scope. The MULTIGRAIN_ENABLED flag has been removed rather than switched on, so a stale .env cannot silently re-block it. Blend ratio is now enforced at production time: a run whose mix drifts more than 0.5 percentage points from the approved recipe, or omits one of its grains, is refused. The admin panel shows the required quantity per grain and a live share as the operator selects batches.</t>
  </si>
  <si>
    <t xml:space="preserve">A-06</t>
  </si>
  <si>
    <t xml:space="preserve">Provide existing customer and product master data for migration planning</t>
  </si>
  <si>
    <t xml:space="preserve">Medium</t>
  </si>
  <si>
    <t xml:space="preserve">Now also needs consumer-facing product descriptions and images for the B2C catalogue</t>
  </si>
  <si>
    <t xml:space="preserve">A-07</t>
  </si>
  <si>
    <t xml:space="preserve">Nominate SVV Balaji UAT participants and confirm availability window</t>
  </si>
  <si>
    <t xml:space="preserve">A-08</t>
  </si>
  <si>
    <t xml:space="preserve">Confirm hosting upgrade path - current single VPS insufficient for media storage at scale</t>
  </si>
  <si>
    <t xml:space="preserve">More urgent under B2C - consumer QR traffic hits public endpoints</t>
  </si>
  <si>
    <t xml:space="preserve">A-09</t>
  </si>
  <si>
    <t xml:space="preserve">Set up staging environment for SVV Balaji review access</t>
  </si>
  <si>
    <t xml:space="preserve">Appzeto</t>
  </si>
  <si>
    <t xml:space="preserve">A-10</t>
  </si>
  <si>
    <t xml:space="preserve">Agree cost and timeline for the added B2C scope in writing, before the consumer workstream starts</t>
  </si>
  <si>
    <t xml:space="preserve">Ravi Tiwari / SVV Balaji</t>
  </si>
  <si>
    <t xml:space="preserve">Consumer app, accounts, cart, payments and B2C invoicing are outside the signed SOW. B2B build continues meanwhile</t>
  </si>
  <si>
    <t xml:space="preserve">A-11</t>
  </si>
  <si>
    <t xml:space="preserve">Confirm GSP vendor (ClearTax recommended), company GSTIN and sandbox/production API credentials</t>
  </si>
  <si>
    <t xml:space="preserve">Provider onboarding is an external process - needed early to leave runway before dispatch go-live</t>
  </si>
  <si>
    <t xml:space="preserve">A-12</t>
  </si>
  <si>
    <t xml:space="preserve">Agree pagination and response envelope for all list endpoints - proposal issued (SVV_Balaji_A12_Pagination_and_Envelope_Proposal.md)</t>
  </si>
  <si>
    <t xml:space="preserve">Ujjawal / Raunak</t>
  </si>
  <si>
    <t xml:space="preserve">Internal. Target date reached 13-Aug with no pagination DTO in the backend, now 6 days overdue. All 27 admin panel screens are built against the unpaginated shape - an adapter absorbs the change, so this is still a non-breaking fix rather than a rework - but the movement ledger, production and quality lists all grow monotonically and will be the first to become unusable on production data. Written proposal issued 11-Aug.</t>
  </si>
  <si>
    <t xml:space="preserve">A-13</t>
  </si>
  <si>
    <t xml:space="preserve">Decide: order DRAFT state, finished-goods stock movement ledger, and allocation history retention on cancellation</t>
  </si>
  <si>
    <t xml:space="preserve">CLOSED 16-Aug-2026, all three answered yes and built. Orders now open in DRAFT, with the price resolved and frozen onto the line at placement rather than at draft - a draft parked for a week is placed at that week's rate, and any line that moved is shown back before the order commits. Finished-goods stock now writes to the same StockMovement ledger raw material has always used, rather than a second table. Cancelling an order marks its allocations released with a reason instead of deleting them, so "you reserved me that batch and then cancelled" has an answer in the data.</t>
  </si>
  <si>
    <t xml:space="preserve">A-14</t>
  </si>
  <si>
    <t xml:space="preserve">Confirm three reporting inputs FRD 34 assumes: per-batch production cost, what "machine utilisation" should measure, and the date a credit period runs from (SVV_Balaji_FRD34_Reporting_Gaps.md)</t>
  </si>
  <si>
    <t xml:space="preserve">SVV Balaji / Ujjawal</t>
  </si>
  <si>
    <t xml:space="preserve">FRD 34 names ~40 reports; 35 are answerable from data already captured. Five are not. Delivery timing was the fifth and has been closed unilaterally - dispatch and delivery timestamps were added 19-Aug, because a timestamp cannot be backfilled and every order shipped before the fix would have been permanently unmeasurable. The three remaining need a client answer: (1) production cost - nothing records what it costs to convert raw material, so Profit Analysis can only show gross margin over raw material; recommend one figure per batch at completion. (2) Machine utilisation - machine is free text with no run times, so no percentage is computable; recommend a machine master and run counts. (3) Credit period - CREDIT_30 has never been defined as 30 days from what, so "overdue" is not currently computable; recommend dispatch date. If unanswered, WS2.6 ships the 35 reports that have inputs and the rest name the missing field rather than showing an empty chart.</t>
  </si>
  <si>
    <t xml:space="preserve">Open actions:</t>
  </si>
  <si>
    <t xml:space="preserve">Critical priority open:</t>
  </si>
  <si>
    <t xml:space="preserve">Closed this week:</t>
  </si>
</sst>
</file>

<file path=xl/styles.xml><?xml version="1.0" encoding="utf-8"?>
<styleSheet xmlns="http://schemas.openxmlformats.org/spreadsheetml/2006/main">
  <numFmts count="6">
    <numFmt numFmtId="164" formatCode="General"/>
    <numFmt numFmtId="165" formatCode="\W0"/>
    <numFmt numFmtId="166" formatCode="0%"/>
    <numFmt numFmtId="167" formatCode="General"/>
    <numFmt numFmtId="168" formatCode="0.0%"/>
    <numFmt numFmtId="169" formatCode="dd\-mmm\-yyyy"/>
  </numFmts>
  <fonts count="10">
    <font>
      <sz val="11"/>
      <color theme="1"/>
      <name val="Calibri"/>
      <family val="2"/>
      <charset val="1"/>
    </font>
    <font>
      <sz val="10"/>
      <name val="Arial"/>
      <family val="0"/>
    </font>
    <font>
      <sz val="10"/>
      <name val="Arial"/>
      <family val="0"/>
    </font>
    <font>
      <sz val="10"/>
      <name val="Arial"/>
      <family val="0"/>
    </font>
    <font>
      <b val="true"/>
      <sz val="15"/>
      <color rgb="FF1F4E5F"/>
      <name val="Arial"/>
      <family val="0"/>
      <charset val="1"/>
    </font>
    <font>
      <sz val="9"/>
      <name val="Arial"/>
      <family val="0"/>
      <charset val="1"/>
    </font>
    <font>
      <sz val="8"/>
      <name val="Arial"/>
      <family val="0"/>
      <charset val="1"/>
    </font>
    <font>
      <b val="true"/>
      <sz val="9"/>
      <color rgb="FFFFFFFF"/>
      <name val="Arial"/>
      <family val="0"/>
      <charset val="1"/>
    </font>
    <font>
      <b val="true"/>
      <sz val="9"/>
      <name val="Arial"/>
      <family val="0"/>
      <charset val="1"/>
    </font>
    <font>
      <b val="true"/>
      <sz val="10"/>
      <name val="Arial"/>
      <family val="0"/>
      <charset val="1"/>
    </font>
  </fonts>
  <fills count="11">
    <fill>
      <patternFill patternType="none"/>
    </fill>
    <fill>
      <patternFill patternType="gray125"/>
    </fill>
    <fill>
      <patternFill patternType="solid">
        <fgColor rgb="FF1F4E5F"/>
        <bgColor rgb="FF333333"/>
      </patternFill>
    </fill>
    <fill>
      <patternFill patternType="solid">
        <fgColor rgb="FFD9E2E8"/>
        <bgColor rgb="FFC6EFCE"/>
      </patternFill>
    </fill>
    <fill>
      <patternFill patternType="solid">
        <fgColor rgb="FF2E9E5B"/>
        <bgColor rgb="FF008080"/>
      </patternFill>
    </fill>
    <fill>
      <patternFill patternType="solid">
        <fgColor rgb="FF9DC3E6"/>
        <bgColor rgb="FFC0C0C0"/>
      </patternFill>
    </fill>
    <fill>
      <patternFill patternType="solid">
        <fgColor rgb="FFE06666"/>
        <bgColor rgb="FFFF6600"/>
      </patternFill>
    </fill>
    <fill>
      <patternFill patternType="solid">
        <fgColor rgb="FFF2C14E"/>
        <bgColor rgb="FFFF9900"/>
      </patternFill>
    </fill>
    <fill>
      <patternFill patternType="solid">
        <fgColor rgb="FFFFF2CC"/>
        <bgColor rgb="FFFFFFFF"/>
      </patternFill>
    </fill>
    <fill>
      <patternFill patternType="solid">
        <fgColor rgb="FFC6EFCE"/>
        <bgColor rgb="FFD9E2E8"/>
      </patternFill>
    </fill>
    <fill>
      <patternFill patternType="solid">
        <fgColor rgb="FFFFC7CE"/>
        <bgColor rgb="FFD9E2E8"/>
      </patternFill>
    </fill>
  </fills>
  <borders count="3">
    <border diagonalUp="false" diagonalDown="false">
      <left/>
      <right/>
      <top/>
      <bottom/>
      <diagonal/>
    </border>
    <border diagonalUp="false" diagonalDown="false">
      <left style="medium">
        <color rgb="FFCC0000"/>
      </left>
      <right/>
      <top/>
      <bottom/>
      <diagonal/>
    </border>
    <border diagonalUp="false" diagonalDown="false">
      <left style="medium">
        <color rgb="FFC00000"/>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5" fontId="7" fillId="2" borderId="0" xfId="0" applyFont="true" applyBorder="false" applyAlignment="true" applyProtection="false">
      <alignment horizontal="center" vertical="center" textRotation="0" wrapText="fals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left" vertical="center" textRotation="0" wrapText="tru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6" fontId="5" fillId="8"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false" applyAlignment="true" applyProtection="false">
      <alignment horizontal="center" vertical="center" textRotation="0" wrapText="false" indent="0" shrinkToFit="false"/>
      <protection locked="true" hidden="false"/>
    </xf>
    <xf numFmtId="169" fontId="5"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2E9E5B"/>
        </patternFill>
      </fill>
    </dxf>
    <dxf>
      <fill>
        <patternFill>
          <bgColor rgb="FFE06666"/>
        </patternFill>
      </fill>
    </dxf>
    <dxf>
      <fill>
        <patternFill>
          <bgColor rgb="FFF2C14E"/>
        </patternFill>
      </fill>
    </dxf>
    <dxf>
      <fill>
        <patternFill>
          <bgColor rgb="FF9DC3E6"/>
        </patternFill>
      </fill>
    </dxf>
  </dxfs>
  <colors>
    <indexedColors>
      <rgbColor rgb="FF000000"/>
      <rgbColor rgb="FFFFFFFF"/>
      <rgbColor rgb="FFCC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E06666"/>
      <rgbColor rgb="FF0066CC"/>
      <rgbColor rgb="FFD9E2E8"/>
      <rgbColor rgb="FF000080"/>
      <rgbColor rgb="FFFF00FF"/>
      <rgbColor rgb="FFFFFF00"/>
      <rgbColor rgb="FF00FFFF"/>
      <rgbColor rgb="FF800080"/>
      <rgbColor rgb="FF800000"/>
      <rgbColor rgb="FF008080"/>
      <rgbColor rgb="FF0000FF"/>
      <rgbColor rgb="FF00CCFF"/>
      <rgbColor rgb="FFCCFFFF"/>
      <rgbColor rgb="FFC6EFCE"/>
      <rgbColor rgb="FFFFFF99"/>
      <rgbColor rgb="FF9DC3E6"/>
      <rgbColor rgb="FFFF99CC"/>
      <rgbColor rgb="FFCC99FF"/>
      <rgbColor rgb="FFFFC7CE"/>
      <rgbColor rgb="FF3366FF"/>
      <rgbColor rgb="FF33CCCC"/>
      <rgbColor rgb="FF99CC00"/>
      <rgbColor rgb="FFF2C14E"/>
      <rgbColor rgb="FFFF9900"/>
      <rgbColor rgb="FFFF6600"/>
      <rgbColor rgb="FF666699"/>
      <rgbColor rgb="FF969696"/>
      <rgbColor rgb="FF1F4E5F"/>
      <rgbColor rgb="FF2E9E5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H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2"/>
    <col collapsed="false" customWidth="true" hidden="false" outlineLevel="0" max="3" min="3" style="1" width="13"/>
    <col collapsed="false" customWidth="true" hidden="false" outlineLevel="0" max="5" min="4" style="1" width="7"/>
    <col collapsed="false" customWidth="true" hidden="false" outlineLevel="0" max="6" min="6" style="1" width="8"/>
    <col collapsed="false" customWidth="true" hidden="false" outlineLevel="0" max="7" min="7" style="1" width="13"/>
    <col collapsed="false" customWidth="true" hidden="false" outlineLevel="0" max="28" min="8" style="1" width="4.2"/>
  </cols>
  <sheetData>
    <row r="1" customFormat="false" ht="18" hidden="false" customHeight="true" outlineLevel="0" collapsed="false">
      <c r="A1" s="2" t="s">
        <v>0</v>
      </c>
      <c r="B1" s="2"/>
      <c r="C1" s="2"/>
      <c r="D1" s="2"/>
      <c r="E1" s="2"/>
      <c r="F1" s="2"/>
      <c r="G1" s="2"/>
      <c r="H1" s="2"/>
    </row>
    <row r="2" customFormat="false" ht="25.5" hidden="false" customHeight="true" outlineLevel="0" collapsed="false">
      <c r="A2" s="3" t="s">
        <v>1</v>
      </c>
      <c r="B2" s="3"/>
      <c r="C2" s="3"/>
      <c r="D2" s="3"/>
      <c r="E2" s="3"/>
      <c r="F2" s="3"/>
      <c r="G2" s="3"/>
      <c r="H2" s="3"/>
      <c r="I2" s="3"/>
      <c r="J2" s="3"/>
      <c r="K2" s="3"/>
      <c r="L2" s="3"/>
      <c r="M2" s="3"/>
      <c r="N2" s="3"/>
    </row>
    <row r="4" customFormat="false" ht="22.5" hidden="false" customHeight="true" outlineLevel="0" collapsed="false">
      <c r="H4" s="4" t="s">
        <v>2</v>
      </c>
      <c r="I4" s="5" t="s">
        <v>3</v>
      </c>
      <c r="J4" s="4" t="s">
        <v>4</v>
      </c>
      <c r="K4" s="4" t="s">
        <v>5</v>
      </c>
      <c r="L4" s="4" t="s">
        <v>6</v>
      </c>
      <c r="M4" s="4" t="s">
        <v>7</v>
      </c>
      <c r="N4" s="4" t="s">
        <v>8</v>
      </c>
      <c r="O4" s="4" t="s">
        <v>9</v>
      </c>
      <c r="P4" s="4" t="s">
        <v>10</v>
      </c>
      <c r="Q4" s="4" t="s">
        <v>11</v>
      </c>
      <c r="R4" s="4" t="s">
        <v>12</v>
      </c>
      <c r="S4" s="4" t="s">
        <v>13</v>
      </c>
      <c r="T4" s="4" t="s">
        <v>14</v>
      </c>
      <c r="U4" s="4" t="s">
        <v>15</v>
      </c>
      <c r="V4" s="4" t="s">
        <v>16</v>
      </c>
      <c r="W4" s="4" t="s">
        <v>17</v>
      </c>
      <c r="X4" s="4" t="s">
        <v>18</v>
      </c>
      <c r="Y4" s="4" t="s">
        <v>19</v>
      </c>
      <c r="Z4" s="4" t="s">
        <v>20</v>
      </c>
      <c r="AA4" s="4" t="s">
        <v>21</v>
      </c>
      <c r="AB4" s="4" t="s">
        <v>22</v>
      </c>
    </row>
    <row r="5" customFormat="false" ht="15" hidden="false" customHeight="true" outlineLevel="0" collapsed="false">
      <c r="A5" s="6" t="s">
        <v>23</v>
      </c>
      <c r="B5" s="6" t="s">
        <v>24</v>
      </c>
      <c r="C5" s="6" t="s">
        <v>25</v>
      </c>
      <c r="D5" s="6" t="s">
        <v>26</v>
      </c>
      <c r="E5" s="6" t="s">
        <v>27</v>
      </c>
      <c r="F5" s="6" t="s">
        <v>28</v>
      </c>
      <c r="G5" s="6" t="s">
        <v>29</v>
      </c>
      <c r="H5" s="7" t="n">
        <v>1</v>
      </c>
      <c r="I5" s="8" t="n">
        <v>2</v>
      </c>
      <c r="J5" s="7" t="n">
        <v>3</v>
      </c>
      <c r="K5" s="7" t="n">
        <v>4</v>
      </c>
      <c r="L5" s="7" t="n">
        <v>5</v>
      </c>
      <c r="M5" s="7" t="n">
        <v>6</v>
      </c>
      <c r="N5" s="7" t="n">
        <v>7</v>
      </c>
      <c r="O5" s="7" t="n">
        <v>8</v>
      </c>
      <c r="P5" s="7" t="n">
        <v>9</v>
      </c>
      <c r="Q5" s="7" t="n">
        <v>10</v>
      </c>
      <c r="R5" s="7" t="n">
        <v>11</v>
      </c>
      <c r="S5" s="7" t="n">
        <v>12</v>
      </c>
      <c r="T5" s="7" t="n">
        <v>13</v>
      </c>
      <c r="U5" s="7" t="n">
        <v>14</v>
      </c>
      <c r="V5" s="7" t="n">
        <v>15</v>
      </c>
      <c r="W5" s="7" t="n">
        <v>16</v>
      </c>
      <c r="X5" s="7" t="n">
        <v>17</v>
      </c>
      <c r="Y5" s="7" t="n">
        <v>18</v>
      </c>
      <c r="Z5" s="7" t="n">
        <v>19</v>
      </c>
      <c r="AA5" s="7" t="n">
        <v>20</v>
      </c>
      <c r="AB5" s="7" t="n">
        <v>21</v>
      </c>
    </row>
    <row r="6" customFormat="false" ht="21.75" hidden="false" customHeight="true" outlineLevel="0" collapsed="false">
      <c r="A6" s="9" t="s">
        <v>30</v>
      </c>
      <c r="B6" s="10" t="s">
        <v>31</v>
      </c>
      <c r="C6" s="11"/>
      <c r="D6" s="11"/>
      <c r="E6" s="11"/>
      <c r="F6" s="11"/>
      <c r="G6" s="11"/>
      <c r="H6" s="11"/>
      <c r="I6" s="11"/>
      <c r="J6" s="12"/>
      <c r="K6" s="11"/>
      <c r="L6" s="11"/>
      <c r="M6" s="11"/>
      <c r="N6" s="11"/>
      <c r="O6" s="11"/>
      <c r="P6" s="11"/>
      <c r="Q6" s="11"/>
      <c r="R6" s="11"/>
      <c r="S6" s="11"/>
      <c r="T6" s="11"/>
      <c r="U6" s="11"/>
      <c r="V6" s="11"/>
      <c r="W6" s="11"/>
      <c r="X6" s="11"/>
      <c r="Y6" s="11"/>
      <c r="Z6" s="11"/>
      <c r="AA6" s="11"/>
      <c r="AB6" s="11"/>
    </row>
    <row r="7" customFormat="false" ht="21.75" hidden="false" customHeight="true" outlineLevel="0" collapsed="false">
      <c r="A7" s="13" t="s">
        <v>32</v>
      </c>
      <c r="B7" s="14" t="s">
        <v>33</v>
      </c>
      <c r="C7" s="15" t="s">
        <v>34</v>
      </c>
      <c r="D7" s="15" t="n">
        <v>1</v>
      </c>
      <c r="E7" s="15" t="n">
        <v>1</v>
      </c>
      <c r="F7" s="16" t="n">
        <v>1</v>
      </c>
      <c r="G7" s="15" t="s">
        <v>35</v>
      </c>
      <c r="H7" s="17" t="n">
        <f aca="false">IF(AND($D7&lt;&gt;"",$E7&lt;&gt;"",H$5&gt;=$D7,H$5&lt;=$E7),IF($F7&gt;=1,3,IF($G7="Blocked",2,IF($G7="Conditional",4,1))),"")</f>
        <v>3</v>
      </c>
      <c r="I7" s="17" t="str">
        <f aca="false">IF(AND($D7&lt;&gt;"",$E7&lt;&gt;"",I$5&gt;=$D7,I$5&lt;=$E7),IF($F7&gt;=1,3,IF($G7="Blocked",2,IF($G7="Conditional",4,1))),"")</f>
        <v/>
      </c>
      <c r="J7" s="18" t="str">
        <f aca="false">IF(AND($D7&lt;&gt;"",$E7&lt;&gt;"",J$5&gt;=$D7,J$5&lt;=$E7),IF($F7&gt;=1,3,IF($G7="Blocked",2,IF($G7="Conditional",4,1))),"")</f>
        <v/>
      </c>
      <c r="K7" s="17" t="str">
        <f aca="false">IF(AND($D7&lt;&gt;"",$E7&lt;&gt;"",K$5&gt;=$D7,K$5&lt;=$E7),IF($F7&gt;=1,3,IF($G7="Blocked",2,IF($G7="Conditional",4,1))),"")</f>
        <v/>
      </c>
      <c r="L7" s="17" t="str">
        <f aca="false">IF(AND($D7&lt;&gt;"",$E7&lt;&gt;"",L$5&gt;=$D7,L$5&lt;=$E7),IF($F7&gt;=1,3,IF($G7="Blocked",2,IF($G7="Conditional",4,1))),"")</f>
        <v/>
      </c>
      <c r="M7" s="17" t="str">
        <f aca="false">IF(AND($D7&lt;&gt;"",$E7&lt;&gt;"",M$5&gt;=$D7,M$5&lt;=$E7),IF($F7&gt;=1,3,IF($G7="Blocked",2,IF($G7="Conditional",4,1))),"")</f>
        <v/>
      </c>
      <c r="N7" s="17" t="str">
        <f aca="false">IF(AND($D7&lt;&gt;"",$E7&lt;&gt;"",N$5&gt;=$D7,N$5&lt;=$E7),IF($F7&gt;=1,3,IF($G7="Blocked",2,IF($G7="Conditional",4,1))),"")</f>
        <v/>
      </c>
      <c r="O7" s="17" t="str">
        <f aca="false">IF(AND($D7&lt;&gt;"",$E7&lt;&gt;"",O$5&gt;=$D7,O$5&lt;=$E7),IF($F7&gt;=1,3,IF($G7="Blocked",2,IF($G7="Conditional",4,1))),"")</f>
        <v/>
      </c>
      <c r="P7" s="17" t="str">
        <f aca="false">IF(AND($D7&lt;&gt;"",$E7&lt;&gt;"",P$5&gt;=$D7,P$5&lt;=$E7),IF($F7&gt;=1,3,IF($G7="Blocked",2,IF($G7="Conditional",4,1))),"")</f>
        <v/>
      </c>
      <c r="Q7" s="17" t="str">
        <f aca="false">IF(AND($D7&lt;&gt;"",$E7&lt;&gt;"",Q$5&gt;=$D7,Q$5&lt;=$E7),IF($F7&gt;=1,3,IF($G7="Blocked",2,IF($G7="Conditional",4,1))),"")</f>
        <v/>
      </c>
      <c r="R7" s="17" t="str">
        <f aca="false">IF(AND($D7&lt;&gt;"",$E7&lt;&gt;"",R$5&gt;=$D7,R$5&lt;=$E7),IF($F7&gt;=1,3,IF($G7="Blocked",2,IF($G7="Conditional",4,1))),"")</f>
        <v/>
      </c>
      <c r="S7" s="17" t="str">
        <f aca="false">IF(AND($D7&lt;&gt;"",$E7&lt;&gt;"",S$5&gt;=$D7,S$5&lt;=$E7),IF($F7&gt;=1,3,IF($G7="Blocked",2,IF($G7="Conditional",4,1))),"")</f>
        <v/>
      </c>
      <c r="T7" s="17" t="str">
        <f aca="false">IF(AND($D7&lt;&gt;"",$E7&lt;&gt;"",T$5&gt;=$D7,T$5&lt;=$E7),IF($F7&gt;=1,3,IF($G7="Blocked",2,IF($G7="Conditional",4,1))),"")</f>
        <v/>
      </c>
      <c r="U7" s="17" t="str">
        <f aca="false">IF(AND($D7&lt;&gt;"",$E7&lt;&gt;"",U$5&gt;=$D7,U$5&lt;=$E7),IF($F7&gt;=1,3,IF($G7="Blocked",2,IF($G7="Conditional",4,1))),"")</f>
        <v/>
      </c>
      <c r="V7" s="17" t="str">
        <f aca="false">IF(AND($D7&lt;&gt;"",$E7&lt;&gt;"",V$5&gt;=$D7,V$5&lt;=$E7),IF($F7&gt;=1,3,IF($G7="Blocked",2,IF($G7="Conditional",4,1))),"")</f>
        <v/>
      </c>
      <c r="W7" s="17" t="str">
        <f aca="false">IF(AND($D7&lt;&gt;"",$E7&lt;&gt;"",W$5&gt;=$D7,W$5&lt;=$E7),IF($F7&gt;=1,3,IF($G7="Blocked",2,IF($G7="Conditional",4,1))),"")</f>
        <v/>
      </c>
      <c r="X7" s="17" t="str">
        <f aca="false">IF(AND($D7&lt;&gt;"",$E7&lt;&gt;"",X$5&gt;=$D7,X$5&lt;=$E7),IF($F7&gt;=1,3,IF($G7="Blocked",2,IF($G7="Conditional",4,1))),"")</f>
        <v/>
      </c>
      <c r="Y7" s="17" t="str">
        <f aca="false">IF(AND($D7&lt;&gt;"",$E7&lt;&gt;"",Y$5&gt;=$D7,Y$5&lt;=$E7),IF($F7&gt;=1,3,IF($G7="Blocked",2,IF($G7="Conditional",4,1))),"")</f>
        <v/>
      </c>
      <c r="Z7" s="17" t="str">
        <f aca="false">IF(AND($D7&lt;&gt;"",$E7&lt;&gt;"",Z$5&gt;=$D7,Z$5&lt;=$E7),IF($F7&gt;=1,3,IF($G7="Blocked",2,IF($G7="Conditional",4,1))),"")</f>
        <v/>
      </c>
      <c r="AA7" s="17" t="str">
        <f aca="false">IF(AND($D7&lt;&gt;"",$E7&lt;&gt;"",AA$5&gt;=$D7,AA$5&lt;=$E7),IF($F7&gt;=1,3,IF($G7="Blocked",2,IF($G7="Conditional",4,1))),"")</f>
        <v/>
      </c>
      <c r="AB7" s="17" t="str">
        <f aca="false">IF(AND($D7&lt;&gt;"",$E7&lt;&gt;"",AB$5&gt;=$D7,AB$5&lt;=$E7),IF($F7&gt;=1,3,IF($G7="Blocked",2,IF($G7="Conditional",4,1))),"")</f>
        <v/>
      </c>
    </row>
    <row r="8" customFormat="false" ht="21.75" hidden="false" customHeight="true" outlineLevel="0" collapsed="false">
      <c r="A8" s="13" t="s">
        <v>36</v>
      </c>
      <c r="B8" s="14" t="s">
        <v>37</v>
      </c>
      <c r="C8" s="15" t="s">
        <v>34</v>
      </c>
      <c r="D8" s="15" t="n">
        <v>1</v>
      </c>
      <c r="E8" s="15" t="n">
        <v>2</v>
      </c>
      <c r="F8" s="16" t="n">
        <v>1</v>
      </c>
      <c r="G8" s="15" t="s">
        <v>35</v>
      </c>
      <c r="H8" s="17" t="n">
        <f aca="false">IF(AND($D8&lt;&gt;"",$E8&lt;&gt;"",H$5&gt;=$D8,H$5&lt;=$E8),IF($F8&gt;=1,3,IF($G8="Blocked",2,IF($G8="Conditional",4,1))),"")</f>
        <v>3</v>
      </c>
      <c r="I8" s="17" t="n">
        <f aca="false">IF(AND($D8&lt;&gt;"",$E8&lt;&gt;"",I$5&gt;=$D8,I$5&lt;=$E8),IF($F8&gt;=1,3,IF($G8="Blocked",2,IF($G8="Conditional",4,1))),"")</f>
        <v>3</v>
      </c>
      <c r="J8" s="18" t="str">
        <f aca="false">IF(AND($D8&lt;&gt;"",$E8&lt;&gt;"",J$5&gt;=$D8,J$5&lt;=$E8),IF($F8&gt;=1,3,IF($G8="Blocked",2,IF($G8="Conditional",4,1))),"")</f>
        <v/>
      </c>
      <c r="K8" s="17" t="str">
        <f aca="false">IF(AND($D8&lt;&gt;"",$E8&lt;&gt;"",K$5&gt;=$D8,K$5&lt;=$E8),IF($F8&gt;=1,3,IF($G8="Blocked",2,IF($G8="Conditional",4,1))),"")</f>
        <v/>
      </c>
      <c r="L8" s="17" t="str">
        <f aca="false">IF(AND($D8&lt;&gt;"",$E8&lt;&gt;"",L$5&gt;=$D8,L$5&lt;=$E8),IF($F8&gt;=1,3,IF($G8="Blocked",2,IF($G8="Conditional",4,1))),"")</f>
        <v/>
      </c>
      <c r="M8" s="17" t="str">
        <f aca="false">IF(AND($D8&lt;&gt;"",$E8&lt;&gt;"",M$5&gt;=$D8,M$5&lt;=$E8),IF($F8&gt;=1,3,IF($G8="Blocked",2,IF($G8="Conditional",4,1))),"")</f>
        <v/>
      </c>
      <c r="N8" s="17" t="str">
        <f aca="false">IF(AND($D8&lt;&gt;"",$E8&lt;&gt;"",N$5&gt;=$D8,N$5&lt;=$E8),IF($F8&gt;=1,3,IF($G8="Blocked",2,IF($G8="Conditional",4,1))),"")</f>
        <v/>
      </c>
      <c r="O8" s="17" t="str">
        <f aca="false">IF(AND($D8&lt;&gt;"",$E8&lt;&gt;"",O$5&gt;=$D8,O$5&lt;=$E8),IF($F8&gt;=1,3,IF($G8="Blocked",2,IF($G8="Conditional",4,1))),"")</f>
        <v/>
      </c>
      <c r="P8" s="17" t="str">
        <f aca="false">IF(AND($D8&lt;&gt;"",$E8&lt;&gt;"",P$5&gt;=$D8,P$5&lt;=$E8),IF($F8&gt;=1,3,IF($G8="Blocked",2,IF($G8="Conditional",4,1))),"")</f>
        <v/>
      </c>
      <c r="Q8" s="17" t="str">
        <f aca="false">IF(AND($D8&lt;&gt;"",$E8&lt;&gt;"",Q$5&gt;=$D8,Q$5&lt;=$E8),IF($F8&gt;=1,3,IF($G8="Blocked",2,IF($G8="Conditional",4,1))),"")</f>
        <v/>
      </c>
      <c r="R8" s="17" t="str">
        <f aca="false">IF(AND($D8&lt;&gt;"",$E8&lt;&gt;"",R$5&gt;=$D8,R$5&lt;=$E8),IF($F8&gt;=1,3,IF($G8="Blocked",2,IF($G8="Conditional",4,1))),"")</f>
        <v/>
      </c>
      <c r="S8" s="17" t="str">
        <f aca="false">IF(AND($D8&lt;&gt;"",$E8&lt;&gt;"",S$5&gt;=$D8,S$5&lt;=$E8),IF($F8&gt;=1,3,IF($G8="Blocked",2,IF($G8="Conditional",4,1))),"")</f>
        <v/>
      </c>
      <c r="T8" s="17" t="str">
        <f aca="false">IF(AND($D8&lt;&gt;"",$E8&lt;&gt;"",T$5&gt;=$D8,T$5&lt;=$E8),IF($F8&gt;=1,3,IF($G8="Blocked",2,IF($G8="Conditional",4,1))),"")</f>
        <v/>
      </c>
      <c r="U8" s="17" t="str">
        <f aca="false">IF(AND($D8&lt;&gt;"",$E8&lt;&gt;"",U$5&gt;=$D8,U$5&lt;=$E8),IF($F8&gt;=1,3,IF($G8="Blocked",2,IF($G8="Conditional",4,1))),"")</f>
        <v/>
      </c>
      <c r="V8" s="17" t="str">
        <f aca="false">IF(AND($D8&lt;&gt;"",$E8&lt;&gt;"",V$5&gt;=$D8,V$5&lt;=$E8),IF($F8&gt;=1,3,IF($G8="Blocked",2,IF($G8="Conditional",4,1))),"")</f>
        <v/>
      </c>
      <c r="W8" s="17" t="str">
        <f aca="false">IF(AND($D8&lt;&gt;"",$E8&lt;&gt;"",W$5&gt;=$D8,W$5&lt;=$E8),IF($F8&gt;=1,3,IF($G8="Blocked",2,IF($G8="Conditional",4,1))),"")</f>
        <v/>
      </c>
      <c r="X8" s="17" t="str">
        <f aca="false">IF(AND($D8&lt;&gt;"",$E8&lt;&gt;"",X$5&gt;=$D8,X$5&lt;=$E8),IF($F8&gt;=1,3,IF($G8="Blocked",2,IF($G8="Conditional",4,1))),"")</f>
        <v/>
      </c>
      <c r="Y8" s="17" t="str">
        <f aca="false">IF(AND($D8&lt;&gt;"",$E8&lt;&gt;"",Y$5&gt;=$D8,Y$5&lt;=$E8),IF($F8&gt;=1,3,IF($G8="Blocked",2,IF($G8="Conditional",4,1))),"")</f>
        <v/>
      </c>
      <c r="Z8" s="17" t="str">
        <f aca="false">IF(AND($D8&lt;&gt;"",$E8&lt;&gt;"",Z$5&gt;=$D8,Z$5&lt;=$E8),IF($F8&gt;=1,3,IF($G8="Blocked",2,IF($G8="Conditional",4,1))),"")</f>
        <v/>
      </c>
      <c r="AA8" s="17" t="str">
        <f aca="false">IF(AND($D8&lt;&gt;"",$E8&lt;&gt;"",AA$5&gt;=$D8,AA$5&lt;=$E8),IF($F8&gt;=1,3,IF($G8="Blocked",2,IF($G8="Conditional",4,1))),"")</f>
        <v/>
      </c>
      <c r="AB8" s="17" t="str">
        <f aca="false">IF(AND($D8&lt;&gt;"",$E8&lt;&gt;"",AB$5&gt;=$D8,AB$5&lt;=$E8),IF($F8&gt;=1,3,IF($G8="Blocked",2,IF($G8="Conditional",4,1))),"")</f>
        <v/>
      </c>
    </row>
    <row r="9" customFormat="false" ht="21.75" hidden="false" customHeight="true" outlineLevel="0" collapsed="false">
      <c r="A9" s="13" t="s">
        <v>38</v>
      </c>
      <c r="B9" s="14" t="s">
        <v>39</v>
      </c>
      <c r="C9" s="15" t="s">
        <v>34</v>
      </c>
      <c r="D9" s="15" t="n">
        <v>2</v>
      </c>
      <c r="E9" s="15" t="n">
        <v>3</v>
      </c>
      <c r="F9" s="16" t="n">
        <v>1</v>
      </c>
      <c r="G9" s="15" t="s">
        <v>35</v>
      </c>
      <c r="H9" s="17" t="str">
        <f aca="false">IF(AND($D9&lt;&gt;"",$E9&lt;&gt;"",H$5&gt;=$D9,H$5&lt;=$E9),IF($F9&gt;=1,3,IF($G9="Blocked",2,IF($G9="Conditional",4,1))),"")</f>
        <v/>
      </c>
      <c r="I9" s="17" t="n">
        <f aca="false">IF(AND($D9&lt;&gt;"",$E9&lt;&gt;"",I$5&gt;=$D9,I$5&lt;=$E9),IF($F9&gt;=1,3,IF($G9="Blocked",2,IF($G9="Conditional",4,1))),"")</f>
        <v>3</v>
      </c>
      <c r="J9" s="18" t="n">
        <f aca="false">IF(AND($D9&lt;&gt;"",$E9&lt;&gt;"",J$5&gt;=$D9,J$5&lt;=$E9),IF($F9&gt;=1,3,IF($G9="Blocked",2,IF($G9="Conditional",4,1))),"")</f>
        <v>3</v>
      </c>
      <c r="K9" s="17" t="str">
        <f aca="false">IF(AND($D9&lt;&gt;"",$E9&lt;&gt;"",K$5&gt;=$D9,K$5&lt;=$E9),IF($F9&gt;=1,3,IF($G9="Blocked",2,IF($G9="Conditional",4,1))),"")</f>
        <v/>
      </c>
      <c r="L9" s="17" t="str">
        <f aca="false">IF(AND($D9&lt;&gt;"",$E9&lt;&gt;"",L$5&gt;=$D9,L$5&lt;=$E9),IF($F9&gt;=1,3,IF($G9="Blocked",2,IF($G9="Conditional",4,1))),"")</f>
        <v/>
      </c>
      <c r="M9" s="17" t="str">
        <f aca="false">IF(AND($D9&lt;&gt;"",$E9&lt;&gt;"",M$5&gt;=$D9,M$5&lt;=$E9),IF($F9&gt;=1,3,IF($G9="Blocked",2,IF($G9="Conditional",4,1))),"")</f>
        <v/>
      </c>
      <c r="N9" s="17" t="str">
        <f aca="false">IF(AND($D9&lt;&gt;"",$E9&lt;&gt;"",N$5&gt;=$D9,N$5&lt;=$E9),IF($F9&gt;=1,3,IF($G9="Blocked",2,IF($G9="Conditional",4,1))),"")</f>
        <v/>
      </c>
      <c r="O9" s="17" t="str">
        <f aca="false">IF(AND($D9&lt;&gt;"",$E9&lt;&gt;"",O$5&gt;=$D9,O$5&lt;=$E9),IF($F9&gt;=1,3,IF($G9="Blocked",2,IF($G9="Conditional",4,1))),"")</f>
        <v/>
      </c>
      <c r="P9" s="17" t="str">
        <f aca="false">IF(AND($D9&lt;&gt;"",$E9&lt;&gt;"",P$5&gt;=$D9,P$5&lt;=$E9),IF($F9&gt;=1,3,IF($G9="Blocked",2,IF($G9="Conditional",4,1))),"")</f>
        <v/>
      </c>
      <c r="Q9" s="17" t="str">
        <f aca="false">IF(AND($D9&lt;&gt;"",$E9&lt;&gt;"",Q$5&gt;=$D9,Q$5&lt;=$E9),IF($F9&gt;=1,3,IF($G9="Blocked",2,IF($G9="Conditional",4,1))),"")</f>
        <v/>
      </c>
      <c r="R9" s="17" t="str">
        <f aca="false">IF(AND($D9&lt;&gt;"",$E9&lt;&gt;"",R$5&gt;=$D9,R$5&lt;=$E9),IF($F9&gt;=1,3,IF($G9="Blocked",2,IF($G9="Conditional",4,1))),"")</f>
        <v/>
      </c>
      <c r="S9" s="17" t="str">
        <f aca="false">IF(AND($D9&lt;&gt;"",$E9&lt;&gt;"",S$5&gt;=$D9,S$5&lt;=$E9),IF($F9&gt;=1,3,IF($G9="Blocked",2,IF($G9="Conditional",4,1))),"")</f>
        <v/>
      </c>
      <c r="T9" s="17" t="str">
        <f aca="false">IF(AND($D9&lt;&gt;"",$E9&lt;&gt;"",T$5&gt;=$D9,T$5&lt;=$E9),IF($F9&gt;=1,3,IF($G9="Blocked",2,IF($G9="Conditional",4,1))),"")</f>
        <v/>
      </c>
      <c r="U9" s="17" t="str">
        <f aca="false">IF(AND($D9&lt;&gt;"",$E9&lt;&gt;"",U$5&gt;=$D9,U$5&lt;=$E9),IF($F9&gt;=1,3,IF($G9="Blocked",2,IF($G9="Conditional",4,1))),"")</f>
        <v/>
      </c>
      <c r="V9" s="17" t="str">
        <f aca="false">IF(AND($D9&lt;&gt;"",$E9&lt;&gt;"",V$5&gt;=$D9,V$5&lt;=$E9),IF($F9&gt;=1,3,IF($G9="Blocked",2,IF($G9="Conditional",4,1))),"")</f>
        <v/>
      </c>
      <c r="W9" s="17" t="str">
        <f aca="false">IF(AND($D9&lt;&gt;"",$E9&lt;&gt;"",W$5&gt;=$D9,W$5&lt;=$E9),IF($F9&gt;=1,3,IF($G9="Blocked",2,IF($G9="Conditional",4,1))),"")</f>
        <v/>
      </c>
      <c r="X9" s="17" t="str">
        <f aca="false">IF(AND($D9&lt;&gt;"",$E9&lt;&gt;"",X$5&gt;=$D9,X$5&lt;=$E9),IF($F9&gt;=1,3,IF($G9="Blocked",2,IF($G9="Conditional",4,1))),"")</f>
        <v/>
      </c>
      <c r="Y9" s="17" t="str">
        <f aca="false">IF(AND($D9&lt;&gt;"",$E9&lt;&gt;"",Y$5&gt;=$D9,Y$5&lt;=$E9),IF($F9&gt;=1,3,IF($G9="Blocked",2,IF($G9="Conditional",4,1))),"")</f>
        <v/>
      </c>
      <c r="Z9" s="17" t="str">
        <f aca="false">IF(AND($D9&lt;&gt;"",$E9&lt;&gt;"",Z$5&gt;=$D9,Z$5&lt;=$E9),IF($F9&gt;=1,3,IF($G9="Blocked",2,IF($G9="Conditional",4,1))),"")</f>
        <v/>
      </c>
      <c r="AA9" s="17" t="str">
        <f aca="false">IF(AND($D9&lt;&gt;"",$E9&lt;&gt;"",AA$5&gt;=$D9,AA$5&lt;=$E9),IF($F9&gt;=1,3,IF($G9="Blocked",2,IF($G9="Conditional",4,1))),"")</f>
        <v/>
      </c>
      <c r="AB9" s="17" t="str">
        <f aca="false">IF(AND($D9&lt;&gt;"",$E9&lt;&gt;"",AB$5&gt;=$D9,AB$5&lt;=$E9),IF($F9&gt;=1,3,IF($G9="Blocked",2,IF($G9="Conditional",4,1))),"")</f>
        <v/>
      </c>
    </row>
    <row r="10" customFormat="false" ht="21.75" hidden="false" customHeight="true" outlineLevel="0" collapsed="false">
      <c r="A10" s="13" t="s">
        <v>40</v>
      </c>
      <c r="B10" s="14" t="s">
        <v>41</v>
      </c>
      <c r="C10" s="15" t="s">
        <v>34</v>
      </c>
      <c r="D10" s="15" t="n">
        <v>3</v>
      </c>
      <c r="E10" s="15" t="n">
        <v>4</v>
      </c>
      <c r="F10" s="16" t="n">
        <v>1</v>
      </c>
      <c r="G10" s="15" t="s">
        <v>35</v>
      </c>
      <c r="H10" s="17" t="str">
        <f aca="false">IF(AND($D10&lt;&gt;"",$E10&lt;&gt;"",H$5&gt;=$D10,H$5&lt;=$E10),IF($F10&gt;=1,3,IF($G10="Blocked",2,IF($G10="Conditional",4,1))),"")</f>
        <v/>
      </c>
      <c r="I10" s="17" t="str">
        <f aca="false">IF(AND($D10&lt;&gt;"",$E10&lt;&gt;"",I$5&gt;=$D10,I$5&lt;=$E10),IF($F10&gt;=1,3,IF($G10="Blocked",2,IF($G10="Conditional",4,1))),"")</f>
        <v/>
      </c>
      <c r="J10" s="18" t="n">
        <f aca="false">IF(AND($D10&lt;&gt;"",$E10&lt;&gt;"",J$5&gt;=$D10,J$5&lt;=$E10),IF($F10&gt;=1,3,IF($G10="Blocked",2,IF($G10="Conditional",4,1))),"")</f>
        <v>3</v>
      </c>
      <c r="K10" s="17" t="n">
        <f aca="false">IF(AND($D10&lt;&gt;"",$E10&lt;&gt;"",K$5&gt;=$D10,K$5&lt;=$E10),IF($F10&gt;=1,3,IF($G10="Blocked",2,IF($G10="Conditional",4,1))),"")</f>
        <v>3</v>
      </c>
      <c r="L10" s="17" t="str">
        <f aca="false">IF(AND($D10&lt;&gt;"",$E10&lt;&gt;"",L$5&gt;=$D10,L$5&lt;=$E10),IF($F10&gt;=1,3,IF($G10="Blocked",2,IF($G10="Conditional",4,1))),"")</f>
        <v/>
      </c>
      <c r="M10" s="17" t="str">
        <f aca="false">IF(AND($D10&lt;&gt;"",$E10&lt;&gt;"",M$5&gt;=$D10,M$5&lt;=$E10),IF($F10&gt;=1,3,IF($G10="Blocked",2,IF($G10="Conditional",4,1))),"")</f>
        <v/>
      </c>
      <c r="N10" s="17" t="str">
        <f aca="false">IF(AND($D10&lt;&gt;"",$E10&lt;&gt;"",N$5&gt;=$D10,N$5&lt;=$E10),IF($F10&gt;=1,3,IF($G10="Blocked",2,IF($G10="Conditional",4,1))),"")</f>
        <v/>
      </c>
      <c r="O10" s="17" t="str">
        <f aca="false">IF(AND($D10&lt;&gt;"",$E10&lt;&gt;"",O$5&gt;=$D10,O$5&lt;=$E10),IF($F10&gt;=1,3,IF($G10="Blocked",2,IF($G10="Conditional",4,1))),"")</f>
        <v/>
      </c>
      <c r="P10" s="17" t="str">
        <f aca="false">IF(AND($D10&lt;&gt;"",$E10&lt;&gt;"",P$5&gt;=$D10,P$5&lt;=$E10),IF($F10&gt;=1,3,IF($G10="Blocked",2,IF($G10="Conditional",4,1))),"")</f>
        <v/>
      </c>
      <c r="Q10" s="17" t="str">
        <f aca="false">IF(AND($D10&lt;&gt;"",$E10&lt;&gt;"",Q$5&gt;=$D10,Q$5&lt;=$E10),IF($F10&gt;=1,3,IF($G10="Blocked",2,IF($G10="Conditional",4,1))),"")</f>
        <v/>
      </c>
      <c r="R10" s="17" t="str">
        <f aca="false">IF(AND($D10&lt;&gt;"",$E10&lt;&gt;"",R$5&gt;=$D10,R$5&lt;=$E10),IF($F10&gt;=1,3,IF($G10="Blocked",2,IF($G10="Conditional",4,1))),"")</f>
        <v/>
      </c>
      <c r="S10" s="17" t="str">
        <f aca="false">IF(AND($D10&lt;&gt;"",$E10&lt;&gt;"",S$5&gt;=$D10,S$5&lt;=$E10),IF($F10&gt;=1,3,IF($G10="Blocked",2,IF($G10="Conditional",4,1))),"")</f>
        <v/>
      </c>
      <c r="T10" s="17" t="str">
        <f aca="false">IF(AND($D10&lt;&gt;"",$E10&lt;&gt;"",T$5&gt;=$D10,T$5&lt;=$E10),IF($F10&gt;=1,3,IF($G10="Blocked",2,IF($G10="Conditional",4,1))),"")</f>
        <v/>
      </c>
      <c r="U10" s="17" t="str">
        <f aca="false">IF(AND($D10&lt;&gt;"",$E10&lt;&gt;"",U$5&gt;=$D10,U$5&lt;=$E10),IF($F10&gt;=1,3,IF($G10="Blocked",2,IF($G10="Conditional",4,1))),"")</f>
        <v/>
      </c>
      <c r="V10" s="17" t="str">
        <f aca="false">IF(AND($D10&lt;&gt;"",$E10&lt;&gt;"",V$5&gt;=$D10,V$5&lt;=$E10),IF($F10&gt;=1,3,IF($G10="Blocked",2,IF($G10="Conditional",4,1))),"")</f>
        <v/>
      </c>
      <c r="W10" s="17" t="str">
        <f aca="false">IF(AND($D10&lt;&gt;"",$E10&lt;&gt;"",W$5&gt;=$D10,W$5&lt;=$E10),IF($F10&gt;=1,3,IF($G10="Blocked",2,IF($G10="Conditional",4,1))),"")</f>
        <v/>
      </c>
      <c r="X10" s="17" t="str">
        <f aca="false">IF(AND($D10&lt;&gt;"",$E10&lt;&gt;"",X$5&gt;=$D10,X$5&lt;=$E10),IF($F10&gt;=1,3,IF($G10="Blocked",2,IF($G10="Conditional",4,1))),"")</f>
        <v/>
      </c>
      <c r="Y10" s="17" t="str">
        <f aca="false">IF(AND($D10&lt;&gt;"",$E10&lt;&gt;"",Y$5&gt;=$D10,Y$5&lt;=$E10),IF($F10&gt;=1,3,IF($G10="Blocked",2,IF($G10="Conditional",4,1))),"")</f>
        <v/>
      </c>
      <c r="Z10" s="17" t="str">
        <f aca="false">IF(AND($D10&lt;&gt;"",$E10&lt;&gt;"",Z$5&gt;=$D10,Z$5&lt;=$E10),IF($F10&gt;=1,3,IF($G10="Blocked",2,IF($G10="Conditional",4,1))),"")</f>
        <v/>
      </c>
      <c r="AA10" s="17" t="str">
        <f aca="false">IF(AND($D10&lt;&gt;"",$E10&lt;&gt;"",AA$5&gt;=$D10,AA$5&lt;=$E10),IF($F10&gt;=1,3,IF($G10="Blocked",2,IF($G10="Conditional",4,1))),"")</f>
        <v/>
      </c>
      <c r="AB10" s="17" t="str">
        <f aca="false">IF(AND($D10&lt;&gt;"",$E10&lt;&gt;"",AB$5&gt;=$D10,AB$5&lt;=$E10),IF($F10&gt;=1,3,IF($G10="Blocked",2,IF($G10="Conditional",4,1))),"")</f>
        <v/>
      </c>
    </row>
    <row r="11" customFormat="false" ht="21.75" hidden="false" customHeight="true" outlineLevel="0" collapsed="false">
      <c r="A11" s="13" t="s">
        <v>42</v>
      </c>
      <c r="B11" s="14" t="s">
        <v>43</v>
      </c>
      <c r="C11" s="15" t="s">
        <v>34</v>
      </c>
      <c r="D11" s="15" t="n">
        <v>2</v>
      </c>
      <c r="E11" s="15" t="n">
        <v>5</v>
      </c>
      <c r="F11" s="16" t="n">
        <v>0.8</v>
      </c>
      <c r="G11" s="15" t="s">
        <v>44</v>
      </c>
      <c r="H11" s="17" t="str">
        <f aca="false">IF(AND($D11&lt;&gt;"",$E11&lt;&gt;"",H$5&gt;=$D11,H$5&lt;=$E11),IF($F11&gt;=1,3,IF($G11="Blocked",2,IF($G11="Conditional",4,1))),"")</f>
        <v/>
      </c>
      <c r="I11" s="17" t="n">
        <f aca="false">IF(AND($D11&lt;&gt;"",$E11&lt;&gt;"",I$5&gt;=$D11,I$5&lt;=$E11),IF($F11&gt;=1,3,IF($G11="Blocked",2,IF($G11="Conditional",4,1))),"")</f>
        <v>1</v>
      </c>
      <c r="J11" s="18" t="n">
        <f aca="false">IF(AND($D11&lt;&gt;"",$E11&lt;&gt;"",J$5&gt;=$D11,J$5&lt;=$E11),IF($F11&gt;=1,3,IF($G11="Blocked",2,IF($G11="Conditional",4,1))),"")</f>
        <v>1</v>
      </c>
      <c r="K11" s="17" t="n">
        <f aca="false">IF(AND($D11&lt;&gt;"",$E11&lt;&gt;"",K$5&gt;=$D11,K$5&lt;=$E11),IF($F11&gt;=1,3,IF($G11="Blocked",2,IF($G11="Conditional",4,1))),"")</f>
        <v>1</v>
      </c>
      <c r="L11" s="17" t="n">
        <f aca="false">IF(AND($D11&lt;&gt;"",$E11&lt;&gt;"",L$5&gt;=$D11,L$5&lt;=$E11),IF($F11&gt;=1,3,IF($G11="Blocked",2,IF($G11="Conditional",4,1))),"")</f>
        <v>1</v>
      </c>
      <c r="M11" s="17" t="str">
        <f aca="false">IF(AND($D11&lt;&gt;"",$E11&lt;&gt;"",M$5&gt;=$D11,M$5&lt;=$E11),IF($F11&gt;=1,3,IF($G11="Blocked",2,IF($G11="Conditional",4,1))),"")</f>
        <v/>
      </c>
      <c r="N11" s="17" t="str">
        <f aca="false">IF(AND($D11&lt;&gt;"",$E11&lt;&gt;"",N$5&gt;=$D11,N$5&lt;=$E11),IF($F11&gt;=1,3,IF($G11="Blocked",2,IF($G11="Conditional",4,1))),"")</f>
        <v/>
      </c>
      <c r="O11" s="17" t="str">
        <f aca="false">IF(AND($D11&lt;&gt;"",$E11&lt;&gt;"",O$5&gt;=$D11,O$5&lt;=$E11),IF($F11&gt;=1,3,IF($G11="Blocked",2,IF($G11="Conditional",4,1))),"")</f>
        <v/>
      </c>
      <c r="P11" s="17" t="str">
        <f aca="false">IF(AND($D11&lt;&gt;"",$E11&lt;&gt;"",P$5&gt;=$D11,P$5&lt;=$E11),IF($F11&gt;=1,3,IF($G11="Blocked",2,IF($G11="Conditional",4,1))),"")</f>
        <v/>
      </c>
      <c r="Q11" s="17" t="str">
        <f aca="false">IF(AND($D11&lt;&gt;"",$E11&lt;&gt;"",Q$5&gt;=$D11,Q$5&lt;=$E11),IF($F11&gt;=1,3,IF($G11="Blocked",2,IF($G11="Conditional",4,1))),"")</f>
        <v/>
      </c>
      <c r="R11" s="17" t="str">
        <f aca="false">IF(AND($D11&lt;&gt;"",$E11&lt;&gt;"",R$5&gt;=$D11,R$5&lt;=$E11),IF($F11&gt;=1,3,IF($G11="Blocked",2,IF($G11="Conditional",4,1))),"")</f>
        <v/>
      </c>
      <c r="S11" s="17" t="str">
        <f aca="false">IF(AND($D11&lt;&gt;"",$E11&lt;&gt;"",S$5&gt;=$D11,S$5&lt;=$E11),IF($F11&gt;=1,3,IF($G11="Blocked",2,IF($G11="Conditional",4,1))),"")</f>
        <v/>
      </c>
      <c r="T11" s="17" t="str">
        <f aca="false">IF(AND($D11&lt;&gt;"",$E11&lt;&gt;"",T$5&gt;=$D11,T$5&lt;=$E11),IF($F11&gt;=1,3,IF($G11="Blocked",2,IF($G11="Conditional",4,1))),"")</f>
        <v/>
      </c>
      <c r="U11" s="17" t="str">
        <f aca="false">IF(AND($D11&lt;&gt;"",$E11&lt;&gt;"",U$5&gt;=$D11,U$5&lt;=$E11),IF($F11&gt;=1,3,IF($G11="Blocked",2,IF($G11="Conditional",4,1))),"")</f>
        <v/>
      </c>
      <c r="V11" s="17" t="str">
        <f aca="false">IF(AND($D11&lt;&gt;"",$E11&lt;&gt;"",V$5&gt;=$D11,V$5&lt;=$E11),IF($F11&gt;=1,3,IF($G11="Blocked",2,IF($G11="Conditional",4,1))),"")</f>
        <v/>
      </c>
      <c r="W11" s="17" t="str">
        <f aca="false">IF(AND($D11&lt;&gt;"",$E11&lt;&gt;"",W$5&gt;=$D11,W$5&lt;=$E11),IF($F11&gt;=1,3,IF($G11="Blocked",2,IF($G11="Conditional",4,1))),"")</f>
        <v/>
      </c>
      <c r="X11" s="17" t="str">
        <f aca="false">IF(AND($D11&lt;&gt;"",$E11&lt;&gt;"",X$5&gt;=$D11,X$5&lt;=$E11),IF($F11&gt;=1,3,IF($G11="Blocked",2,IF($G11="Conditional",4,1))),"")</f>
        <v/>
      </c>
      <c r="Y11" s="17" t="str">
        <f aca="false">IF(AND($D11&lt;&gt;"",$E11&lt;&gt;"",Y$5&gt;=$D11,Y$5&lt;=$E11),IF($F11&gt;=1,3,IF($G11="Blocked",2,IF($G11="Conditional",4,1))),"")</f>
        <v/>
      </c>
      <c r="Z11" s="17" t="str">
        <f aca="false">IF(AND($D11&lt;&gt;"",$E11&lt;&gt;"",Z$5&gt;=$D11,Z$5&lt;=$E11),IF($F11&gt;=1,3,IF($G11="Blocked",2,IF($G11="Conditional",4,1))),"")</f>
        <v/>
      </c>
      <c r="AA11" s="17" t="str">
        <f aca="false">IF(AND($D11&lt;&gt;"",$E11&lt;&gt;"",AA$5&gt;=$D11,AA$5&lt;=$E11),IF($F11&gt;=1,3,IF($G11="Blocked",2,IF($G11="Conditional",4,1))),"")</f>
        <v/>
      </c>
      <c r="AB11" s="17" t="str">
        <f aca="false">IF(AND($D11&lt;&gt;"",$E11&lt;&gt;"",AB$5&gt;=$D11,AB$5&lt;=$E11),IF($F11&gt;=1,3,IF($G11="Blocked",2,IF($G11="Conditional",4,1))),"")</f>
        <v/>
      </c>
    </row>
    <row r="12" customFormat="false" ht="21.75" hidden="false" customHeight="true" outlineLevel="0" collapsed="false">
      <c r="A12" s="13" t="s">
        <v>45</v>
      </c>
      <c r="B12" s="14" t="s">
        <v>46</v>
      </c>
      <c r="C12" s="15" t="s">
        <v>34</v>
      </c>
      <c r="D12" s="15" t="n">
        <v>2</v>
      </c>
      <c r="E12" s="15" t="n">
        <v>3</v>
      </c>
      <c r="F12" s="16" t="n">
        <v>1</v>
      </c>
      <c r="G12" s="15" t="s">
        <v>35</v>
      </c>
      <c r="H12" s="17" t="str">
        <f aca="false">IF(AND($D12&lt;&gt;"",$E12&lt;&gt;"",H$5&gt;=$D12,H$5&lt;=$E12),IF($F12&gt;=1,3,IF($G12="Blocked",2,IF($G12="Conditional",4,1))),"")</f>
        <v/>
      </c>
      <c r="I12" s="17" t="n">
        <f aca="false">IF(AND($D12&lt;&gt;"",$E12&lt;&gt;"",I$5&gt;=$D12,I$5&lt;=$E12),IF($F12&gt;=1,3,IF($G12="Blocked",2,IF($G12="Conditional",4,1))),"")</f>
        <v>3</v>
      </c>
      <c r="J12" s="18" t="n">
        <f aca="false">IF(AND($D12&lt;&gt;"",$E12&lt;&gt;"",J$5&gt;=$D12,J$5&lt;=$E12),IF($F12&gt;=1,3,IF($G12="Blocked",2,IF($G12="Conditional",4,1))),"")</f>
        <v>3</v>
      </c>
      <c r="K12" s="17" t="str">
        <f aca="false">IF(AND($D12&lt;&gt;"",$E12&lt;&gt;"",K$5&gt;=$D12,K$5&lt;=$E12),IF($F12&gt;=1,3,IF($G12="Blocked",2,IF($G12="Conditional",4,1))),"")</f>
        <v/>
      </c>
      <c r="L12" s="17" t="str">
        <f aca="false">IF(AND($D12&lt;&gt;"",$E12&lt;&gt;"",L$5&gt;=$D12,L$5&lt;=$E12),IF($F12&gt;=1,3,IF($G12="Blocked",2,IF($G12="Conditional",4,1))),"")</f>
        <v/>
      </c>
      <c r="M12" s="17" t="str">
        <f aca="false">IF(AND($D12&lt;&gt;"",$E12&lt;&gt;"",M$5&gt;=$D12,M$5&lt;=$E12),IF($F12&gt;=1,3,IF($G12="Blocked",2,IF($G12="Conditional",4,1))),"")</f>
        <v/>
      </c>
      <c r="N12" s="17" t="str">
        <f aca="false">IF(AND($D12&lt;&gt;"",$E12&lt;&gt;"",N$5&gt;=$D12,N$5&lt;=$E12),IF($F12&gt;=1,3,IF($G12="Blocked",2,IF($G12="Conditional",4,1))),"")</f>
        <v/>
      </c>
      <c r="O12" s="17" t="str">
        <f aca="false">IF(AND($D12&lt;&gt;"",$E12&lt;&gt;"",O$5&gt;=$D12,O$5&lt;=$E12),IF($F12&gt;=1,3,IF($G12="Blocked",2,IF($G12="Conditional",4,1))),"")</f>
        <v/>
      </c>
      <c r="P12" s="17" t="str">
        <f aca="false">IF(AND($D12&lt;&gt;"",$E12&lt;&gt;"",P$5&gt;=$D12,P$5&lt;=$E12),IF($F12&gt;=1,3,IF($G12="Blocked",2,IF($G12="Conditional",4,1))),"")</f>
        <v/>
      </c>
      <c r="Q12" s="17" t="str">
        <f aca="false">IF(AND($D12&lt;&gt;"",$E12&lt;&gt;"",Q$5&gt;=$D12,Q$5&lt;=$E12),IF($F12&gt;=1,3,IF($G12="Blocked",2,IF($G12="Conditional",4,1))),"")</f>
        <v/>
      </c>
      <c r="R12" s="17" t="str">
        <f aca="false">IF(AND($D12&lt;&gt;"",$E12&lt;&gt;"",R$5&gt;=$D12,R$5&lt;=$E12),IF($F12&gt;=1,3,IF($G12="Blocked",2,IF($G12="Conditional",4,1))),"")</f>
        <v/>
      </c>
      <c r="S12" s="17" t="str">
        <f aca="false">IF(AND($D12&lt;&gt;"",$E12&lt;&gt;"",S$5&gt;=$D12,S$5&lt;=$E12),IF($F12&gt;=1,3,IF($G12="Blocked",2,IF($G12="Conditional",4,1))),"")</f>
        <v/>
      </c>
      <c r="T12" s="17" t="str">
        <f aca="false">IF(AND($D12&lt;&gt;"",$E12&lt;&gt;"",T$5&gt;=$D12,T$5&lt;=$E12),IF($F12&gt;=1,3,IF($G12="Blocked",2,IF($G12="Conditional",4,1))),"")</f>
        <v/>
      </c>
      <c r="U12" s="17" t="str">
        <f aca="false">IF(AND($D12&lt;&gt;"",$E12&lt;&gt;"",U$5&gt;=$D12,U$5&lt;=$E12),IF($F12&gt;=1,3,IF($G12="Blocked",2,IF($G12="Conditional",4,1))),"")</f>
        <v/>
      </c>
      <c r="V12" s="17" t="str">
        <f aca="false">IF(AND($D12&lt;&gt;"",$E12&lt;&gt;"",V$5&gt;=$D12,V$5&lt;=$E12),IF($F12&gt;=1,3,IF($G12="Blocked",2,IF($G12="Conditional",4,1))),"")</f>
        <v/>
      </c>
      <c r="W12" s="17" t="str">
        <f aca="false">IF(AND($D12&lt;&gt;"",$E12&lt;&gt;"",W$5&gt;=$D12,W$5&lt;=$E12),IF($F12&gt;=1,3,IF($G12="Blocked",2,IF($G12="Conditional",4,1))),"")</f>
        <v/>
      </c>
      <c r="X12" s="17" t="str">
        <f aca="false">IF(AND($D12&lt;&gt;"",$E12&lt;&gt;"",X$5&gt;=$D12,X$5&lt;=$E12),IF($F12&gt;=1,3,IF($G12="Blocked",2,IF($G12="Conditional",4,1))),"")</f>
        <v/>
      </c>
      <c r="Y12" s="17" t="str">
        <f aca="false">IF(AND($D12&lt;&gt;"",$E12&lt;&gt;"",Y$5&gt;=$D12,Y$5&lt;=$E12),IF($F12&gt;=1,3,IF($G12="Blocked",2,IF($G12="Conditional",4,1))),"")</f>
        <v/>
      </c>
      <c r="Z12" s="17" t="str">
        <f aca="false">IF(AND($D12&lt;&gt;"",$E12&lt;&gt;"",Z$5&gt;=$D12,Z$5&lt;=$E12),IF($F12&gt;=1,3,IF($G12="Blocked",2,IF($G12="Conditional",4,1))),"")</f>
        <v/>
      </c>
      <c r="AA12" s="17" t="str">
        <f aca="false">IF(AND($D12&lt;&gt;"",$E12&lt;&gt;"",AA$5&gt;=$D12,AA$5&lt;=$E12),IF($F12&gt;=1,3,IF($G12="Blocked",2,IF($G12="Conditional",4,1))),"")</f>
        <v/>
      </c>
      <c r="AB12" s="17" t="str">
        <f aca="false">IF(AND($D12&lt;&gt;"",$E12&lt;&gt;"",AB$5&gt;=$D12,AB$5&lt;=$E12),IF($F12&gt;=1,3,IF($G12="Blocked",2,IF($G12="Conditional",4,1))),"")</f>
        <v/>
      </c>
    </row>
    <row r="13" customFormat="false" ht="21.75" hidden="false" customHeight="true" outlineLevel="0" collapsed="false">
      <c r="A13" s="13" t="s">
        <v>47</v>
      </c>
      <c r="B13" s="14" t="s">
        <v>48</v>
      </c>
      <c r="C13" s="15" t="s">
        <v>34</v>
      </c>
      <c r="D13" s="15" t="n">
        <v>5</v>
      </c>
      <c r="E13" s="15" t="n">
        <v>7</v>
      </c>
      <c r="F13" s="16" t="n">
        <v>0</v>
      </c>
      <c r="G13" s="15" t="s">
        <v>49</v>
      </c>
      <c r="H13" s="17" t="str">
        <f aca="false">IF(AND($D13&lt;&gt;"",$E13&lt;&gt;"",H$5&gt;=$D13,H$5&lt;=$E13),IF($F13&gt;=1,3,IF($G13="Blocked",2,IF($G13="Conditional",4,1))),"")</f>
        <v/>
      </c>
      <c r="I13" s="17" t="str">
        <f aca="false">IF(AND($D13&lt;&gt;"",$E13&lt;&gt;"",I$5&gt;=$D13,I$5&lt;=$E13),IF($F13&gt;=1,3,IF($G13="Blocked",2,IF($G13="Conditional",4,1))),"")</f>
        <v/>
      </c>
      <c r="J13" s="18" t="str">
        <f aca="false">IF(AND($D13&lt;&gt;"",$E13&lt;&gt;"",J$5&gt;=$D13,J$5&lt;=$E13),IF($F13&gt;=1,3,IF($G13="Blocked",2,IF($G13="Conditional",4,1))),"")</f>
        <v/>
      </c>
      <c r="K13" s="17" t="str">
        <f aca="false">IF(AND($D13&lt;&gt;"",$E13&lt;&gt;"",K$5&gt;=$D13,K$5&lt;=$E13),IF($F13&gt;=1,3,IF($G13="Blocked",2,IF($G13="Conditional",4,1))),"")</f>
        <v/>
      </c>
      <c r="L13" s="17" t="n">
        <f aca="false">IF(AND($D13&lt;&gt;"",$E13&lt;&gt;"",L$5&gt;=$D13,L$5&lt;=$E13),IF($F13&gt;=1,3,IF($G13="Blocked",2,IF($G13="Conditional",4,1))),"")</f>
        <v>4</v>
      </c>
      <c r="M13" s="17" t="n">
        <f aca="false">IF(AND($D13&lt;&gt;"",$E13&lt;&gt;"",M$5&gt;=$D13,M$5&lt;=$E13),IF($F13&gt;=1,3,IF($G13="Blocked",2,IF($G13="Conditional",4,1))),"")</f>
        <v>4</v>
      </c>
      <c r="N13" s="17" t="n">
        <f aca="false">IF(AND($D13&lt;&gt;"",$E13&lt;&gt;"",N$5&gt;=$D13,N$5&lt;=$E13),IF($F13&gt;=1,3,IF($G13="Blocked",2,IF($G13="Conditional",4,1))),"")</f>
        <v>4</v>
      </c>
      <c r="O13" s="17" t="str">
        <f aca="false">IF(AND($D13&lt;&gt;"",$E13&lt;&gt;"",O$5&gt;=$D13,O$5&lt;=$E13),IF($F13&gt;=1,3,IF($G13="Blocked",2,IF($G13="Conditional",4,1))),"")</f>
        <v/>
      </c>
      <c r="P13" s="17" t="str">
        <f aca="false">IF(AND($D13&lt;&gt;"",$E13&lt;&gt;"",P$5&gt;=$D13,P$5&lt;=$E13),IF($F13&gt;=1,3,IF($G13="Blocked",2,IF($G13="Conditional",4,1))),"")</f>
        <v/>
      </c>
      <c r="Q13" s="17" t="str">
        <f aca="false">IF(AND($D13&lt;&gt;"",$E13&lt;&gt;"",Q$5&gt;=$D13,Q$5&lt;=$E13),IF($F13&gt;=1,3,IF($G13="Blocked",2,IF($G13="Conditional",4,1))),"")</f>
        <v/>
      </c>
      <c r="R13" s="17" t="str">
        <f aca="false">IF(AND($D13&lt;&gt;"",$E13&lt;&gt;"",R$5&gt;=$D13,R$5&lt;=$E13),IF($F13&gt;=1,3,IF($G13="Blocked",2,IF($G13="Conditional",4,1))),"")</f>
        <v/>
      </c>
      <c r="S13" s="17" t="str">
        <f aca="false">IF(AND($D13&lt;&gt;"",$E13&lt;&gt;"",S$5&gt;=$D13,S$5&lt;=$E13),IF($F13&gt;=1,3,IF($G13="Blocked",2,IF($G13="Conditional",4,1))),"")</f>
        <v/>
      </c>
      <c r="T13" s="17" t="str">
        <f aca="false">IF(AND($D13&lt;&gt;"",$E13&lt;&gt;"",T$5&gt;=$D13,T$5&lt;=$E13),IF($F13&gt;=1,3,IF($G13="Blocked",2,IF($G13="Conditional",4,1))),"")</f>
        <v/>
      </c>
      <c r="U13" s="17" t="str">
        <f aca="false">IF(AND($D13&lt;&gt;"",$E13&lt;&gt;"",U$5&gt;=$D13,U$5&lt;=$E13),IF($F13&gt;=1,3,IF($G13="Blocked",2,IF($G13="Conditional",4,1))),"")</f>
        <v/>
      </c>
      <c r="V13" s="17" t="str">
        <f aca="false">IF(AND($D13&lt;&gt;"",$E13&lt;&gt;"",V$5&gt;=$D13,V$5&lt;=$E13),IF($F13&gt;=1,3,IF($G13="Blocked",2,IF($G13="Conditional",4,1))),"")</f>
        <v/>
      </c>
      <c r="W13" s="17" t="str">
        <f aca="false">IF(AND($D13&lt;&gt;"",$E13&lt;&gt;"",W$5&gt;=$D13,W$5&lt;=$E13),IF($F13&gt;=1,3,IF($G13="Blocked",2,IF($G13="Conditional",4,1))),"")</f>
        <v/>
      </c>
      <c r="X13" s="17" t="str">
        <f aca="false">IF(AND($D13&lt;&gt;"",$E13&lt;&gt;"",X$5&gt;=$D13,X$5&lt;=$E13),IF($F13&gt;=1,3,IF($G13="Blocked",2,IF($G13="Conditional",4,1))),"")</f>
        <v/>
      </c>
      <c r="Y13" s="17" t="str">
        <f aca="false">IF(AND($D13&lt;&gt;"",$E13&lt;&gt;"",Y$5&gt;=$D13,Y$5&lt;=$E13),IF($F13&gt;=1,3,IF($G13="Blocked",2,IF($G13="Conditional",4,1))),"")</f>
        <v/>
      </c>
      <c r="Z13" s="17" t="str">
        <f aca="false">IF(AND($D13&lt;&gt;"",$E13&lt;&gt;"",Z$5&gt;=$D13,Z$5&lt;=$E13),IF($F13&gt;=1,3,IF($G13="Blocked",2,IF($G13="Conditional",4,1))),"")</f>
        <v/>
      </c>
      <c r="AA13" s="17" t="str">
        <f aca="false">IF(AND($D13&lt;&gt;"",$E13&lt;&gt;"",AA$5&gt;=$D13,AA$5&lt;=$E13),IF($F13&gt;=1,3,IF($G13="Blocked",2,IF($G13="Conditional",4,1))),"")</f>
        <v/>
      </c>
      <c r="AB13" s="17" t="str">
        <f aca="false">IF(AND($D13&lt;&gt;"",$E13&lt;&gt;"",AB$5&gt;=$D13,AB$5&lt;=$E13),IF($F13&gt;=1,3,IF($G13="Blocked",2,IF($G13="Conditional",4,1))),"")</f>
        <v/>
      </c>
    </row>
    <row r="14" customFormat="false" ht="21.75" hidden="false" customHeight="true" outlineLevel="0" collapsed="false">
      <c r="A14" s="13" t="s">
        <v>50</v>
      </c>
      <c r="B14" s="14" t="s">
        <v>51</v>
      </c>
      <c r="C14" s="15" t="s">
        <v>34</v>
      </c>
      <c r="D14" s="15" t="n">
        <v>7</v>
      </c>
      <c r="E14" s="15" t="n">
        <v>8</v>
      </c>
      <c r="F14" s="16" t="n">
        <v>0</v>
      </c>
      <c r="G14" s="15" t="s">
        <v>52</v>
      </c>
      <c r="H14" s="17" t="str">
        <f aca="false">IF(AND($D14&lt;&gt;"",$E14&lt;&gt;"",H$5&gt;=$D14,H$5&lt;=$E14),IF($F14&gt;=1,3,IF($G14="Blocked",2,IF($G14="Conditional",4,1))),"")</f>
        <v/>
      </c>
      <c r="I14" s="17" t="str">
        <f aca="false">IF(AND($D14&lt;&gt;"",$E14&lt;&gt;"",I$5&gt;=$D14,I$5&lt;=$E14),IF($F14&gt;=1,3,IF($G14="Blocked",2,IF($G14="Conditional",4,1))),"")</f>
        <v/>
      </c>
      <c r="J14" s="18" t="str">
        <f aca="false">IF(AND($D14&lt;&gt;"",$E14&lt;&gt;"",J$5&gt;=$D14,J$5&lt;=$E14),IF($F14&gt;=1,3,IF($G14="Blocked",2,IF($G14="Conditional",4,1))),"")</f>
        <v/>
      </c>
      <c r="K14" s="17" t="str">
        <f aca="false">IF(AND($D14&lt;&gt;"",$E14&lt;&gt;"",K$5&gt;=$D14,K$5&lt;=$E14),IF($F14&gt;=1,3,IF($G14="Blocked",2,IF($G14="Conditional",4,1))),"")</f>
        <v/>
      </c>
      <c r="L14" s="17" t="str">
        <f aca="false">IF(AND($D14&lt;&gt;"",$E14&lt;&gt;"",L$5&gt;=$D14,L$5&lt;=$E14),IF($F14&gt;=1,3,IF($G14="Blocked",2,IF($G14="Conditional",4,1))),"")</f>
        <v/>
      </c>
      <c r="M14" s="17" t="str">
        <f aca="false">IF(AND($D14&lt;&gt;"",$E14&lt;&gt;"",M$5&gt;=$D14,M$5&lt;=$E14),IF($F14&gt;=1,3,IF($G14="Blocked",2,IF($G14="Conditional",4,1))),"")</f>
        <v/>
      </c>
      <c r="N14" s="17" t="n">
        <f aca="false">IF(AND($D14&lt;&gt;"",$E14&lt;&gt;"",N$5&gt;=$D14,N$5&lt;=$E14),IF($F14&gt;=1,3,IF($G14="Blocked",2,IF($G14="Conditional",4,1))),"")</f>
        <v>1</v>
      </c>
      <c r="O14" s="17" t="n">
        <f aca="false">IF(AND($D14&lt;&gt;"",$E14&lt;&gt;"",O$5&gt;=$D14,O$5&lt;=$E14),IF($F14&gt;=1,3,IF($G14="Blocked",2,IF($G14="Conditional",4,1))),"")</f>
        <v>1</v>
      </c>
      <c r="P14" s="17" t="str">
        <f aca="false">IF(AND($D14&lt;&gt;"",$E14&lt;&gt;"",P$5&gt;=$D14,P$5&lt;=$E14),IF($F14&gt;=1,3,IF($G14="Blocked",2,IF($G14="Conditional",4,1))),"")</f>
        <v/>
      </c>
      <c r="Q14" s="17" t="str">
        <f aca="false">IF(AND($D14&lt;&gt;"",$E14&lt;&gt;"",Q$5&gt;=$D14,Q$5&lt;=$E14),IF($F14&gt;=1,3,IF($G14="Blocked",2,IF($G14="Conditional",4,1))),"")</f>
        <v/>
      </c>
      <c r="R14" s="17" t="str">
        <f aca="false">IF(AND($D14&lt;&gt;"",$E14&lt;&gt;"",R$5&gt;=$D14,R$5&lt;=$E14),IF($F14&gt;=1,3,IF($G14="Blocked",2,IF($G14="Conditional",4,1))),"")</f>
        <v/>
      </c>
      <c r="S14" s="17" t="str">
        <f aca="false">IF(AND($D14&lt;&gt;"",$E14&lt;&gt;"",S$5&gt;=$D14,S$5&lt;=$E14),IF($F14&gt;=1,3,IF($G14="Blocked",2,IF($G14="Conditional",4,1))),"")</f>
        <v/>
      </c>
      <c r="T14" s="17" t="str">
        <f aca="false">IF(AND($D14&lt;&gt;"",$E14&lt;&gt;"",T$5&gt;=$D14,T$5&lt;=$E14),IF($F14&gt;=1,3,IF($G14="Blocked",2,IF($G14="Conditional",4,1))),"")</f>
        <v/>
      </c>
      <c r="U14" s="17" t="str">
        <f aca="false">IF(AND($D14&lt;&gt;"",$E14&lt;&gt;"",U$5&gt;=$D14,U$5&lt;=$E14),IF($F14&gt;=1,3,IF($G14="Blocked",2,IF($G14="Conditional",4,1))),"")</f>
        <v/>
      </c>
      <c r="V14" s="17" t="str">
        <f aca="false">IF(AND($D14&lt;&gt;"",$E14&lt;&gt;"",V$5&gt;=$D14,V$5&lt;=$E14),IF($F14&gt;=1,3,IF($G14="Blocked",2,IF($G14="Conditional",4,1))),"")</f>
        <v/>
      </c>
      <c r="W14" s="17" t="str">
        <f aca="false">IF(AND($D14&lt;&gt;"",$E14&lt;&gt;"",W$5&gt;=$D14,W$5&lt;=$E14),IF($F14&gt;=1,3,IF($G14="Blocked",2,IF($G14="Conditional",4,1))),"")</f>
        <v/>
      </c>
      <c r="X14" s="17" t="str">
        <f aca="false">IF(AND($D14&lt;&gt;"",$E14&lt;&gt;"",X$5&gt;=$D14,X$5&lt;=$E14),IF($F14&gt;=1,3,IF($G14="Blocked",2,IF($G14="Conditional",4,1))),"")</f>
        <v/>
      </c>
      <c r="Y14" s="17" t="str">
        <f aca="false">IF(AND($D14&lt;&gt;"",$E14&lt;&gt;"",Y$5&gt;=$D14,Y$5&lt;=$E14),IF($F14&gt;=1,3,IF($G14="Blocked",2,IF($G14="Conditional",4,1))),"")</f>
        <v/>
      </c>
      <c r="Z14" s="17" t="str">
        <f aca="false">IF(AND($D14&lt;&gt;"",$E14&lt;&gt;"",Z$5&gt;=$D14,Z$5&lt;=$E14),IF($F14&gt;=1,3,IF($G14="Blocked",2,IF($G14="Conditional",4,1))),"")</f>
        <v/>
      </c>
      <c r="AA14" s="17" t="str">
        <f aca="false">IF(AND($D14&lt;&gt;"",$E14&lt;&gt;"",AA$5&gt;=$D14,AA$5&lt;=$E14),IF($F14&gt;=1,3,IF($G14="Blocked",2,IF($G14="Conditional",4,1))),"")</f>
        <v/>
      </c>
      <c r="AB14" s="17" t="str">
        <f aca="false">IF(AND($D14&lt;&gt;"",$E14&lt;&gt;"",AB$5&gt;=$D14,AB$5&lt;=$E14),IF($F14&gt;=1,3,IF($G14="Blocked",2,IF($G14="Conditional",4,1))),"")</f>
        <v/>
      </c>
    </row>
    <row r="15" customFormat="false" ht="21.75" hidden="false" customHeight="true" outlineLevel="0" collapsed="false">
      <c r="A15" s="13" t="s">
        <v>53</v>
      </c>
      <c r="B15" s="14" t="s">
        <v>54</v>
      </c>
      <c r="C15" s="15" t="s">
        <v>34</v>
      </c>
      <c r="D15" s="15" t="n">
        <v>8</v>
      </c>
      <c r="E15" s="15" t="n">
        <v>9</v>
      </c>
      <c r="F15" s="16" t="n">
        <v>0</v>
      </c>
      <c r="G15" s="15" t="s">
        <v>52</v>
      </c>
      <c r="H15" s="17" t="str">
        <f aca="false">IF(AND($D15&lt;&gt;"",$E15&lt;&gt;"",H$5&gt;=$D15,H$5&lt;=$E15),IF($F15&gt;=1,3,IF($G15="Blocked",2,IF($G15="Conditional",4,1))),"")</f>
        <v/>
      </c>
      <c r="I15" s="17" t="str">
        <f aca="false">IF(AND($D15&lt;&gt;"",$E15&lt;&gt;"",I$5&gt;=$D15,I$5&lt;=$E15),IF($F15&gt;=1,3,IF($G15="Blocked",2,IF($G15="Conditional",4,1))),"")</f>
        <v/>
      </c>
      <c r="J15" s="18" t="str">
        <f aca="false">IF(AND($D15&lt;&gt;"",$E15&lt;&gt;"",J$5&gt;=$D15,J$5&lt;=$E15),IF($F15&gt;=1,3,IF($G15="Blocked",2,IF($G15="Conditional",4,1))),"")</f>
        <v/>
      </c>
      <c r="K15" s="17" t="str">
        <f aca="false">IF(AND($D15&lt;&gt;"",$E15&lt;&gt;"",K$5&gt;=$D15,K$5&lt;=$E15),IF($F15&gt;=1,3,IF($G15="Blocked",2,IF($G15="Conditional",4,1))),"")</f>
        <v/>
      </c>
      <c r="L15" s="17" t="str">
        <f aca="false">IF(AND($D15&lt;&gt;"",$E15&lt;&gt;"",L$5&gt;=$D15,L$5&lt;=$E15),IF($F15&gt;=1,3,IF($G15="Blocked",2,IF($G15="Conditional",4,1))),"")</f>
        <v/>
      </c>
      <c r="M15" s="17" t="str">
        <f aca="false">IF(AND($D15&lt;&gt;"",$E15&lt;&gt;"",M$5&gt;=$D15,M$5&lt;=$E15),IF($F15&gt;=1,3,IF($G15="Blocked",2,IF($G15="Conditional",4,1))),"")</f>
        <v/>
      </c>
      <c r="N15" s="17" t="str">
        <f aca="false">IF(AND($D15&lt;&gt;"",$E15&lt;&gt;"",N$5&gt;=$D15,N$5&lt;=$E15),IF($F15&gt;=1,3,IF($G15="Blocked",2,IF($G15="Conditional",4,1))),"")</f>
        <v/>
      </c>
      <c r="O15" s="17" t="n">
        <f aca="false">IF(AND($D15&lt;&gt;"",$E15&lt;&gt;"",O$5&gt;=$D15,O$5&lt;=$E15),IF($F15&gt;=1,3,IF($G15="Blocked",2,IF($G15="Conditional",4,1))),"")</f>
        <v>1</v>
      </c>
      <c r="P15" s="17" t="n">
        <f aca="false">IF(AND($D15&lt;&gt;"",$E15&lt;&gt;"",P$5&gt;=$D15,P$5&lt;=$E15),IF($F15&gt;=1,3,IF($G15="Blocked",2,IF($G15="Conditional",4,1))),"")</f>
        <v>1</v>
      </c>
      <c r="Q15" s="17" t="str">
        <f aca="false">IF(AND($D15&lt;&gt;"",$E15&lt;&gt;"",Q$5&gt;=$D15,Q$5&lt;=$E15),IF($F15&gt;=1,3,IF($G15="Blocked",2,IF($G15="Conditional",4,1))),"")</f>
        <v/>
      </c>
      <c r="R15" s="17" t="str">
        <f aca="false">IF(AND($D15&lt;&gt;"",$E15&lt;&gt;"",R$5&gt;=$D15,R$5&lt;=$E15),IF($F15&gt;=1,3,IF($G15="Blocked",2,IF($G15="Conditional",4,1))),"")</f>
        <v/>
      </c>
      <c r="S15" s="17" t="str">
        <f aca="false">IF(AND($D15&lt;&gt;"",$E15&lt;&gt;"",S$5&gt;=$D15,S$5&lt;=$E15),IF($F15&gt;=1,3,IF($G15="Blocked",2,IF($G15="Conditional",4,1))),"")</f>
        <v/>
      </c>
      <c r="T15" s="17" t="str">
        <f aca="false">IF(AND($D15&lt;&gt;"",$E15&lt;&gt;"",T$5&gt;=$D15,T$5&lt;=$E15),IF($F15&gt;=1,3,IF($G15="Blocked",2,IF($G15="Conditional",4,1))),"")</f>
        <v/>
      </c>
      <c r="U15" s="17" t="str">
        <f aca="false">IF(AND($D15&lt;&gt;"",$E15&lt;&gt;"",U$5&gt;=$D15,U$5&lt;=$E15),IF($F15&gt;=1,3,IF($G15="Blocked",2,IF($G15="Conditional",4,1))),"")</f>
        <v/>
      </c>
      <c r="V15" s="17" t="str">
        <f aca="false">IF(AND($D15&lt;&gt;"",$E15&lt;&gt;"",V$5&gt;=$D15,V$5&lt;=$E15),IF($F15&gt;=1,3,IF($G15="Blocked",2,IF($G15="Conditional",4,1))),"")</f>
        <v/>
      </c>
      <c r="W15" s="17" t="str">
        <f aca="false">IF(AND($D15&lt;&gt;"",$E15&lt;&gt;"",W$5&gt;=$D15,W$5&lt;=$E15),IF($F15&gt;=1,3,IF($G15="Blocked",2,IF($G15="Conditional",4,1))),"")</f>
        <v/>
      </c>
      <c r="X15" s="17" t="str">
        <f aca="false">IF(AND($D15&lt;&gt;"",$E15&lt;&gt;"",X$5&gt;=$D15,X$5&lt;=$E15),IF($F15&gt;=1,3,IF($G15="Blocked",2,IF($G15="Conditional",4,1))),"")</f>
        <v/>
      </c>
      <c r="Y15" s="17" t="str">
        <f aca="false">IF(AND($D15&lt;&gt;"",$E15&lt;&gt;"",Y$5&gt;=$D15,Y$5&lt;=$E15),IF($F15&gt;=1,3,IF($G15="Blocked",2,IF($G15="Conditional",4,1))),"")</f>
        <v/>
      </c>
      <c r="Z15" s="17" t="str">
        <f aca="false">IF(AND($D15&lt;&gt;"",$E15&lt;&gt;"",Z$5&gt;=$D15,Z$5&lt;=$E15),IF($F15&gt;=1,3,IF($G15="Blocked",2,IF($G15="Conditional",4,1))),"")</f>
        <v/>
      </c>
      <c r="AA15" s="17" t="str">
        <f aca="false">IF(AND($D15&lt;&gt;"",$E15&lt;&gt;"",AA$5&gt;=$D15,AA$5&lt;=$E15),IF($F15&gt;=1,3,IF($G15="Blocked",2,IF($G15="Conditional",4,1))),"")</f>
        <v/>
      </c>
      <c r="AB15" s="17" t="str">
        <f aca="false">IF(AND($D15&lt;&gt;"",$E15&lt;&gt;"",AB$5&gt;=$D15,AB$5&lt;=$E15),IF($F15&gt;=1,3,IF($G15="Blocked",2,IF($G15="Conditional",4,1))),"")</f>
        <v/>
      </c>
    </row>
    <row r="16" customFormat="false" ht="21.75" hidden="false" customHeight="true" outlineLevel="0" collapsed="false">
      <c r="A16" s="9" t="s">
        <v>55</v>
      </c>
      <c r="B16" s="10" t="s">
        <v>56</v>
      </c>
      <c r="C16" s="11"/>
      <c r="D16" s="11"/>
      <c r="E16" s="11"/>
      <c r="F16" s="11"/>
      <c r="G16" s="11"/>
      <c r="H16" s="11"/>
      <c r="I16" s="11"/>
      <c r="J16" s="12"/>
      <c r="K16" s="11"/>
      <c r="L16" s="11"/>
      <c r="M16" s="11"/>
      <c r="N16" s="11"/>
      <c r="O16" s="11"/>
      <c r="P16" s="11"/>
      <c r="Q16" s="11"/>
      <c r="R16" s="11"/>
      <c r="S16" s="11"/>
      <c r="T16" s="11"/>
      <c r="U16" s="11"/>
      <c r="V16" s="11"/>
      <c r="W16" s="11"/>
      <c r="X16" s="11"/>
      <c r="Y16" s="11"/>
      <c r="Z16" s="11"/>
      <c r="AA16" s="11"/>
      <c r="AB16" s="11"/>
    </row>
    <row r="17" customFormat="false" ht="21.75" hidden="false" customHeight="true" outlineLevel="0" collapsed="false">
      <c r="A17" s="13" t="s">
        <v>57</v>
      </c>
      <c r="B17" s="14" t="s">
        <v>58</v>
      </c>
      <c r="C17" s="15" t="s">
        <v>59</v>
      </c>
      <c r="D17" s="15" t="n">
        <v>2</v>
      </c>
      <c r="E17" s="15" t="n">
        <v>4</v>
      </c>
      <c r="F17" s="16" t="n">
        <v>1</v>
      </c>
      <c r="G17" s="15" t="s">
        <v>35</v>
      </c>
      <c r="H17" s="17" t="str">
        <f aca="false">IF(AND($D17&lt;&gt;"",$E17&lt;&gt;"",H$5&gt;=$D17,H$5&lt;=$E17),IF($F17&gt;=1,3,IF($G17="Blocked",2,IF($G17="Conditional",4,1))),"")</f>
        <v/>
      </c>
      <c r="I17" s="17" t="n">
        <f aca="false">IF(AND($D17&lt;&gt;"",$E17&lt;&gt;"",I$5&gt;=$D17,I$5&lt;=$E17),IF($F17&gt;=1,3,IF($G17="Blocked",2,IF($G17="Conditional",4,1))),"")</f>
        <v>3</v>
      </c>
      <c r="J17" s="18" t="n">
        <f aca="false">IF(AND($D17&lt;&gt;"",$E17&lt;&gt;"",J$5&gt;=$D17,J$5&lt;=$E17),IF($F17&gt;=1,3,IF($G17="Blocked",2,IF($G17="Conditional",4,1))),"")</f>
        <v>3</v>
      </c>
      <c r="K17" s="17" t="n">
        <f aca="false">IF(AND($D17&lt;&gt;"",$E17&lt;&gt;"",K$5&gt;=$D17,K$5&lt;=$E17),IF($F17&gt;=1,3,IF($G17="Blocked",2,IF($G17="Conditional",4,1))),"")</f>
        <v>3</v>
      </c>
      <c r="L17" s="17" t="str">
        <f aca="false">IF(AND($D17&lt;&gt;"",$E17&lt;&gt;"",L$5&gt;=$D17,L$5&lt;=$E17),IF($F17&gt;=1,3,IF($G17="Blocked",2,IF($G17="Conditional",4,1))),"")</f>
        <v/>
      </c>
      <c r="M17" s="17" t="str">
        <f aca="false">IF(AND($D17&lt;&gt;"",$E17&lt;&gt;"",M$5&gt;=$D17,M$5&lt;=$E17),IF($F17&gt;=1,3,IF($G17="Blocked",2,IF($G17="Conditional",4,1))),"")</f>
        <v/>
      </c>
      <c r="N17" s="17" t="str">
        <f aca="false">IF(AND($D17&lt;&gt;"",$E17&lt;&gt;"",N$5&gt;=$D17,N$5&lt;=$E17),IF($F17&gt;=1,3,IF($G17="Blocked",2,IF($G17="Conditional",4,1))),"")</f>
        <v/>
      </c>
      <c r="O17" s="17" t="str">
        <f aca="false">IF(AND($D17&lt;&gt;"",$E17&lt;&gt;"",O$5&gt;=$D17,O$5&lt;=$E17),IF($F17&gt;=1,3,IF($G17="Blocked",2,IF($G17="Conditional",4,1))),"")</f>
        <v/>
      </c>
      <c r="P17" s="17" t="str">
        <f aca="false">IF(AND($D17&lt;&gt;"",$E17&lt;&gt;"",P$5&gt;=$D17,P$5&lt;=$E17),IF($F17&gt;=1,3,IF($G17="Blocked",2,IF($G17="Conditional",4,1))),"")</f>
        <v/>
      </c>
      <c r="Q17" s="17" t="str">
        <f aca="false">IF(AND($D17&lt;&gt;"",$E17&lt;&gt;"",Q$5&gt;=$D17,Q$5&lt;=$E17),IF($F17&gt;=1,3,IF($G17="Blocked",2,IF($G17="Conditional",4,1))),"")</f>
        <v/>
      </c>
      <c r="R17" s="17" t="str">
        <f aca="false">IF(AND($D17&lt;&gt;"",$E17&lt;&gt;"",R$5&gt;=$D17,R$5&lt;=$E17),IF($F17&gt;=1,3,IF($G17="Blocked",2,IF($G17="Conditional",4,1))),"")</f>
        <v/>
      </c>
      <c r="S17" s="17" t="str">
        <f aca="false">IF(AND($D17&lt;&gt;"",$E17&lt;&gt;"",S$5&gt;=$D17,S$5&lt;=$E17),IF($F17&gt;=1,3,IF($G17="Blocked",2,IF($G17="Conditional",4,1))),"")</f>
        <v/>
      </c>
      <c r="T17" s="17" t="str">
        <f aca="false">IF(AND($D17&lt;&gt;"",$E17&lt;&gt;"",T$5&gt;=$D17,T$5&lt;=$E17),IF($F17&gt;=1,3,IF($G17="Blocked",2,IF($G17="Conditional",4,1))),"")</f>
        <v/>
      </c>
      <c r="U17" s="17" t="str">
        <f aca="false">IF(AND($D17&lt;&gt;"",$E17&lt;&gt;"",U$5&gt;=$D17,U$5&lt;=$E17),IF($F17&gt;=1,3,IF($G17="Blocked",2,IF($G17="Conditional",4,1))),"")</f>
        <v/>
      </c>
      <c r="V17" s="17" t="str">
        <f aca="false">IF(AND($D17&lt;&gt;"",$E17&lt;&gt;"",V$5&gt;=$D17,V$5&lt;=$E17),IF($F17&gt;=1,3,IF($G17="Blocked",2,IF($G17="Conditional",4,1))),"")</f>
        <v/>
      </c>
      <c r="W17" s="17" t="str">
        <f aca="false">IF(AND($D17&lt;&gt;"",$E17&lt;&gt;"",W$5&gt;=$D17,W$5&lt;=$E17),IF($F17&gt;=1,3,IF($G17="Blocked",2,IF($G17="Conditional",4,1))),"")</f>
        <v/>
      </c>
      <c r="X17" s="17" t="str">
        <f aca="false">IF(AND($D17&lt;&gt;"",$E17&lt;&gt;"",X$5&gt;=$D17,X$5&lt;=$E17),IF($F17&gt;=1,3,IF($G17="Blocked",2,IF($G17="Conditional",4,1))),"")</f>
        <v/>
      </c>
      <c r="Y17" s="17" t="str">
        <f aca="false">IF(AND($D17&lt;&gt;"",$E17&lt;&gt;"",Y$5&gt;=$D17,Y$5&lt;=$E17),IF($F17&gt;=1,3,IF($G17="Blocked",2,IF($G17="Conditional",4,1))),"")</f>
        <v/>
      </c>
      <c r="Z17" s="17" t="str">
        <f aca="false">IF(AND($D17&lt;&gt;"",$E17&lt;&gt;"",Z$5&gt;=$D17,Z$5&lt;=$E17),IF($F17&gt;=1,3,IF($G17="Blocked",2,IF($G17="Conditional",4,1))),"")</f>
        <v/>
      </c>
      <c r="AA17" s="17" t="str">
        <f aca="false">IF(AND($D17&lt;&gt;"",$E17&lt;&gt;"",AA$5&gt;=$D17,AA$5&lt;=$E17),IF($F17&gt;=1,3,IF($G17="Blocked",2,IF($G17="Conditional",4,1))),"")</f>
        <v/>
      </c>
      <c r="AB17" s="17" t="str">
        <f aca="false">IF(AND($D17&lt;&gt;"",$E17&lt;&gt;"",AB$5&gt;=$D17,AB$5&lt;=$E17),IF($F17&gt;=1,3,IF($G17="Blocked",2,IF($G17="Conditional",4,1))),"")</f>
        <v/>
      </c>
    </row>
    <row r="18" customFormat="false" ht="21.75" hidden="false" customHeight="true" outlineLevel="0" collapsed="false">
      <c r="A18" s="13" t="s">
        <v>60</v>
      </c>
      <c r="B18" s="14" t="s">
        <v>61</v>
      </c>
      <c r="C18" s="15" t="s">
        <v>59</v>
      </c>
      <c r="D18" s="15" t="n">
        <v>4</v>
      </c>
      <c r="E18" s="15" t="n">
        <v>6</v>
      </c>
      <c r="F18" s="16" t="n">
        <v>1</v>
      </c>
      <c r="G18" s="15" t="s">
        <v>35</v>
      </c>
      <c r="H18" s="17" t="str">
        <f aca="false">IF(AND($D18&lt;&gt;"",$E18&lt;&gt;"",H$5&gt;=$D18,H$5&lt;=$E18),IF($F18&gt;=1,3,IF($G18="Blocked",2,IF($G18="Conditional",4,1))),"")</f>
        <v/>
      </c>
      <c r="I18" s="17" t="str">
        <f aca="false">IF(AND($D18&lt;&gt;"",$E18&lt;&gt;"",I$5&gt;=$D18,I$5&lt;=$E18),IF($F18&gt;=1,3,IF($G18="Blocked",2,IF($G18="Conditional",4,1))),"")</f>
        <v/>
      </c>
      <c r="J18" s="18" t="str">
        <f aca="false">IF(AND($D18&lt;&gt;"",$E18&lt;&gt;"",J$5&gt;=$D18,J$5&lt;=$E18),IF($F18&gt;=1,3,IF($G18="Blocked",2,IF($G18="Conditional",4,1))),"")</f>
        <v/>
      </c>
      <c r="K18" s="17" t="n">
        <f aca="false">IF(AND($D18&lt;&gt;"",$E18&lt;&gt;"",K$5&gt;=$D18,K$5&lt;=$E18),IF($F18&gt;=1,3,IF($G18="Blocked",2,IF($G18="Conditional",4,1))),"")</f>
        <v>3</v>
      </c>
      <c r="L18" s="17" t="n">
        <f aca="false">IF(AND($D18&lt;&gt;"",$E18&lt;&gt;"",L$5&gt;=$D18,L$5&lt;=$E18),IF($F18&gt;=1,3,IF($G18="Blocked",2,IF($G18="Conditional",4,1))),"")</f>
        <v>3</v>
      </c>
      <c r="M18" s="17" t="n">
        <f aca="false">IF(AND($D18&lt;&gt;"",$E18&lt;&gt;"",M$5&gt;=$D18,M$5&lt;=$E18),IF($F18&gt;=1,3,IF($G18="Blocked",2,IF($G18="Conditional",4,1))),"")</f>
        <v>3</v>
      </c>
      <c r="N18" s="17" t="str">
        <f aca="false">IF(AND($D18&lt;&gt;"",$E18&lt;&gt;"",N$5&gt;=$D18,N$5&lt;=$E18),IF($F18&gt;=1,3,IF($G18="Blocked",2,IF($G18="Conditional",4,1))),"")</f>
        <v/>
      </c>
      <c r="O18" s="17" t="str">
        <f aca="false">IF(AND($D18&lt;&gt;"",$E18&lt;&gt;"",O$5&gt;=$D18,O$5&lt;=$E18),IF($F18&gt;=1,3,IF($G18="Blocked",2,IF($G18="Conditional",4,1))),"")</f>
        <v/>
      </c>
      <c r="P18" s="17" t="str">
        <f aca="false">IF(AND($D18&lt;&gt;"",$E18&lt;&gt;"",P$5&gt;=$D18,P$5&lt;=$E18),IF($F18&gt;=1,3,IF($G18="Blocked",2,IF($G18="Conditional",4,1))),"")</f>
        <v/>
      </c>
      <c r="Q18" s="17" t="str">
        <f aca="false">IF(AND($D18&lt;&gt;"",$E18&lt;&gt;"",Q$5&gt;=$D18,Q$5&lt;=$E18),IF($F18&gt;=1,3,IF($G18="Blocked",2,IF($G18="Conditional",4,1))),"")</f>
        <v/>
      </c>
      <c r="R18" s="17" t="str">
        <f aca="false">IF(AND($D18&lt;&gt;"",$E18&lt;&gt;"",R$5&gt;=$D18,R$5&lt;=$E18),IF($F18&gt;=1,3,IF($G18="Blocked",2,IF($G18="Conditional",4,1))),"")</f>
        <v/>
      </c>
      <c r="S18" s="17" t="str">
        <f aca="false">IF(AND($D18&lt;&gt;"",$E18&lt;&gt;"",S$5&gt;=$D18,S$5&lt;=$E18),IF($F18&gt;=1,3,IF($G18="Blocked",2,IF($G18="Conditional",4,1))),"")</f>
        <v/>
      </c>
      <c r="T18" s="17" t="str">
        <f aca="false">IF(AND($D18&lt;&gt;"",$E18&lt;&gt;"",T$5&gt;=$D18,T$5&lt;=$E18),IF($F18&gt;=1,3,IF($G18="Blocked",2,IF($G18="Conditional",4,1))),"")</f>
        <v/>
      </c>
      <c r="U18" s="17" t="str">
        <f aca="false">IF(AND($D18&lt;&gt;"",$E18&lt;&gt;"",U$5&gt;=$D18,U$5&lt;=$E18),IF($F18&gt;=1,3,IF($G18="Blocked",2,IF($G18="Conditional",4,1))),"")</f>
        <v/>
      </c>
      <c r="V18" s="17" t="str">
        <f aca="false">IF(AND($D18&lt;&gt;"",$E18&lt;&gt;"",V$5&gt;=$D18,V$5&lt;=$E18),IF($F18&gt;=1,3,IF($G18="Blocked",2,IF($G18="Conditional",4,1))),"")</f>
        <v/>
      </c>
      <c r="W18" s="17" t="str">
        <f aca="false">IF(AND($D18&lt;&gt;"",$E18&lt;&gt;"",W$5&gt;=$D18,W$5&lt;=$E18),IF($F18&gt;=1,3,IF($G18="Blocked",2,IF($G18="Conditional",4,1))),"")</f>
        <v/>
      </c>
      <c r="X18" s="17" t="str">
        <f aca="false">IF(AND($D18&lt;&gt;"",$E18&lt;&gt;"",X$5&gt;=$D18,X$5&lt;=$E18),IF($F18&gt;=1,3,IF($G18="Blocked",2,IF($G18="Conditional",4,1))),"")</f>
        <v/>
      </c>
      <c r="Y18" s="17" t="str">
        <f aca="false">IF(AND($D18&lt;&gt;"",$E18&lt;&gt;"",Y$5&gt;=$D18,Y$5&lt;=$E18),IF($F18&gt;=1,3,IF($G18="Blocked",2,IF($G18="Conditional",4,1))),"")</f>
        <v/>
      </c>
      <c r="Z18" s="17" t="str">
        <f aca="false">IF(AND($D18&lt;&gt;"",$E18&lt;&gt;"",Z$5&gt;=$D18,Z$5&lt;=$E18),IF($F18&gt;=1,3,IF($G18="Blocked",2,IF($G18="Conditional",4,1))),"")</f>
        <v/>
      </c>
      <c r="AA18" s="17" t="str">
        <f aca="false">IF(AND($D18&lt;&gt;"",$E18&lt;&gt;"",AA$5&gt;=$D18,AA$5&lt;=$E18),IF($F18&gt;=1,3,IF($G18="Blocked",2,IF($G18="Conditional",4,1))),"")</f>
        <v/>
      </c>
      <c r="AB18" s="17" t="str">
        <f aca="false">IF(AND($D18&lt;&gt;"",$E18&lt;&gt;"",AB$5&gt;=$D18,AB$5&lt;=$E18),IF($F18&gt;=1,3,IF($G18="Blocked",2,IF($G18="Conditional",4,1))),"")</f>
        <v/>
      </c>
    </row>
    <row r="19" customFormat="false" ht="21.75" hidden="false" customHeight="true" outlineLevel="0" collapsed="false">
      <c r="A19" s="13" t="s">
        <v>62</v>
      </c>
      <c r="B19" s="14" t="s">
        <v>63</v>
      </c>
      <c r="C19" s="15" t="s">
        <v>59</v>
      </c>
      <c r="D19" s="15" t="n">
        <v>6</v>
      </c>
      <c r="E19" s="15" t="n">
        <v>8</v>
      </c>
      <c r="F19" s="16" t="n">
        <v>1</v>
      </c>
      <c r="G19" s="15" t="s">
        <v>35</v>
      </c>
      <c r="H19" s="17" t="str">
        <f aca="false">IF(AND($D19&lt;&gt;"",$E19&lt;&gt;"",H$5&gt;=$D19,H$5&lt;=$E19),IF($F19&gt;=1,3,IF($G19="Blocked",2,IF($G19="Conditional",4,1))),"")</f>
        <v/>
      </c>
      <c r="I19" s="17" t="str">
        <f aca="false">IF(AND($D19&lt;&gt;"",$E19&lt;&gt;"",I$5&gt;=$D19,I$5&lt;=$E19),IF($F19&gt;=1,3,IF($G19="Blocked",2,IF($G19="Conditional",4,1))),"")</f>
        <v/>
      </c>
      <c r="J19" s="18" t="str">
        <f aca="false">IF(AND($D19&lt;&gt;"",$E19&lt;&gt;"",J$5&gt;=$D19,J$5&lt;=$E19),IF($F19&gt;=1,3,IF($G19="Blocked",2,IF($G19="Conditional",4,1))),"")</f>
        <v/>
      </c>
      <c r="K19" s="17" t="str">
        <f aca="false">IF(AND($D19&lt;&gt;"",$E19&lt;&gt;"",K$5&gt;=$D19,K$5&lt;=$E19),IF($F19&gt;=1,3,IF($G19="Blocked",2,IF($G19="Conditional",4,1))),"")</f>
        <v/>
      </c>
      <c r="L19" s="17" t="str">
        <f aca="false">IF(AND($D19&lt;&gt;"",$E19&lt;&gt;"",L$5&gt;=$D19,L$5&lt;=$E19),IF($F19&gt;=1,3,IF($G19="Blocked",2,IF($G19="Conditional",4,1))),"")</f>
        <v/>
      </c>
      <c r="M19" s="17" t="n">
        <f aca="false">IF(AND($D19&lt;&gt;"",$E19&lt;&gt;"",M$5&gt;=$D19,M$5&lt;=$E19),IF($F19&gt;=1,3,IF($G19="Blocked",2,IF($G19="Conditional",4,1))),"")</f>
        <v>3</v>
      </c>
      <c r="N19" s="17" t="n">
        <f aca="false">IF(AND($D19&lt;&gt;"",$E19&lt;&gt;"",N$5&gt;=$D19,N$5&lt;=$E19),IF($F19&gt;=1,3,IF($G19="Blocked",2,IF($G19="Conditional",4,1))),"")</f>
        <v>3</v>
      </c>
      <c r="O19" s="17" t="n">
        <f aca="false">IF(AND($D19&lt;&gt;"",$E19&lt;&gt;"",O$5&gt;=$D19,O$5&lt;=$E19),IF($F19&gt;=1,3,IF($G19="Blocked",2,IF($G19="Conditional",4,1))),"")</f>
        <v>3</v>
      </c>
      <c r="P19" s="17" t="str">
        <f aca="false">IF(AND($D19&lt;&gt;"",$E19&lt;&gt;"",P$5&gt;=$D19,P$5&lt;=$E19),IF($F19&gt;=1,3,IF($G19="Blocked",2,IF($G19="Conditional",4,1))),"")</f>
        <v/>
      </c>
      <c r="Q19" s="17" t="str">
        <f aca="false">IF(AND($D19&lt;&gt;"",$E19&lt;&gt;"",Q$5&gt;=$D19,Q$5&lt;=$E19),IF($F19&gt;=1,3,IF($G19="Blocked",2,IF($G19="Conditional",4,1))),"")</f>
        <v/>
      </c>
      <c r="R19" s="17" t="str">
        <f aca="false">IF(AND($D19&lt;&gt;"",$E19&lt;&gt;"",R$5&gt;=$D19,R$5&lt;=$E19),IF($F19&gt;=1,3,IF($G19="Blocked",2,IF($G19="Conditional",4,1))),"")</f>
        <v/>
      </c>
      <c r="S19" s="17" t="str">
        <f aca="false">IF(AND($D19&lt;&gt;"",$E19&lt;&gt;"",S$5&gt;=$D19,S$5&lt;=$E19),IF($F19&gt;=1,3,IF($G19="Blocked",2,IF($G19="Conditional",4,1))),"")</f>
        <v/>
      </c>
      <c r="T19" s="17" t="str">
        <f aca="false">IF(AND($D19&lt;&gt;"",$E19&lt;&gt;"",T$5&gt;=$D19,T$5&lt;=$E19),IF($F19&gt;=1,3,IF($G19="Blocked",2,IF($G19="Conditional",4,1))),"")</f>
        <v/>
      </c>
      <c r="U19" s="17" t="str">
        <f aca="false">IF(AND($D19&lt;&gt;"",$E19&lt;&gt;"",U$5&gt;=$D19,U$5&lt;=$E19),IF($F19&gt;=1,3,IF($G19="Blocked",2,IF($G19="Conditional",4,1))),"")</f>
        <v/>
      </c>
      <c r="V19" s="17" t="str">
        <f aca="false">IF(AND($D19&lt;&gt;"",$E19&lt;&gt;"",V$5&gt;=$D19,V$5&lt;=$E19),IF($F19&gt;=1,3,IF($G19="Blocked",2,IF($G19="Conditional",4,1))),"")</f>
        <v/>
      </c>
      <c r="W19" s="17" t="str">
        <f aca="false">IF(AND($D19&lt;&gt;"",$E19&lt;&gt;"",W$5&gt;=$D19,W$5&lt;=$E19),IF($F19&gt;=1,3,IF($G19="Blocked",2,IF($G19="Conditional",4,1))),"")</f>
        <v/>
      </c>
      <c r="X19" s="17" t="str">
        <f aca="false">IF(AND($D19&lt;&gt;"",$E19&lt;&gt;"",X$5&gt;=$D19,X$5&lt;=$E19),IF($F19&gt;=1,3,IF($G19="Blocked",2,IF($G19="Conditional",4,1))),"")</f>
        <v/>
      </c>
      <c r="Y19" s="17" t="str">
        <f aca="false">IF(AND($D19&lt;&gt;"",$E19&lt;&gt;"",Y$5&gt;=$D19,Y$5&lt;=$E19),IF($F19&gt;=1,3,IF($G19="Blocked",2,IF($G19="Conditional",4,1))),"")</f>
        <v/>
      </c>
      <c r="Z19" s="17" t="str">
        <f aca="false">IF(AND($D19&lt;&gt;"",$E19&lt;&gt;"",Z$5&gt;=$D19,Z$5&lt;=$E19),IF($F19&gt;=1,3,IF($G19="Blocked",2,IF($G19="Conditional",4,1))),"")</f>
        <v/>
      </c>
      <c r="AA19" s="17" t="str">
        <f aca="false">IF(AND($D19&lt;&gt;"",$E19&lt;&gt;"",AA$5&gt;=$D19,AA$5&lt;=$E19),IF($F19&gt;=1,3,IF($G19="Blocked",2,IF($G19="Conditional",4,1))),"")</f>
        <v/>
      </c>
      <c r="AB19" s="17" t="str">
        <f aca="false">IF(AND($D19&lt;&gt;"",$E19&lt;&gt;"",AB$5&gt;=$D19,AB$5&lt;=$E19),IF($F19&gt;=1,3,IF($G19="Blocked",2,IF($G19="Conditional",4,1))),"")</f>
        <v/>
      </c>
    </row>
    <row r="20" customFormat="false" ht="21.75" hidden="false" customHeight="true" outlineLevel="0" collapsed="false">
      <c r="A20" s="13" t="s">
        <v>64</v>
      </c>
      <c r="B20" s="14" t="s">
        <v>65</v>
      </c>
      <c r="C20" s="15" t="s">
        <v>59</v>
      </c>
      <c r="D20" s="15" t="n">
        <v>8</v>
      </c>
      <c r="E20" s="15" t="n">
        <v>10</v>
      </c>
      <c r="F20" s="16" t="n">
        <v>1</v>
      </c>
      <c r="G20" s="15" t="s">
        <v>35</v>
      </c>
      <c r="H20" s="17" t="str">
        <f aca="false">IF(AND($D20&lt;&gt;"",$E20&lt;&gt;"",H$5&gt;=$D20,H$5&lt;=$E20),IF($F20&gt;=1,3,IF($G20="Blocked",2,IF($G20="Conditional",4,1))),"")</f>
        <v/>
      </c>
      <c r="I20" s="17" t="str">
        <f aca="false">IF(AND($D20&lt;&gt;"",$E20&lt;&gt;"",I$5&gt;=$D20,I$5&lt;=$E20),IF($F20&gt;=1,3,IF($G20="Blocked",2,IF($G20="Conditional",4,1))),"")</f>
        <v/>
      </c>
      <c r="J20" s="18" t="str">
        <f aca="false">IF(AND($D20&lt;&gt;"",$E20&lt;&gt;"",J$5&gt;=$D20,J$5&lt;=$E20),IF($F20&gt;=1,3,IF($G20="Blocked",2,IF($G20="Conditional",4,1))),"")</f>
        <v/>
      </c>
      <c r="K20" s="17" t="str">
        <f aca="false">IF(AND($D20&lt;&gt;"",$E20&lt;&gt;"",K$5&gt;=$D20,K$5&lt;=$E20),IF($F20&gt;=1,3,IF($G20="Blocked",2,IF($G20="Conditional",4,1))),"")</f>
        <v/>
      </c>
      <c r="L20" s="17" t="str">
        <f aca="false">IF(AND($D20&lt;&gt;"",$E20&lt;&gt;"",L$5&gt;=$D20,L$5&lt;=$E20),IF($F20&gt;=1,3,IF($G20="Blocked",2,IF($G20="Conditional",4,1))),"")</f>
        <v/>
      </c>
      <c r="M20" s="17" t="str">
        <f aca="false">IF(AND($D20&lt;&gt;"",$E20&lt;&gt;"",M$5&gt;=$D20,M$5&lt;=$E20),IF($F20&gt;=1,3,IF($G20="Blocked",2,IF($G20="Conditional",4,1))),"")</f>
        <v/>
      </c>
      <c r="N20" s="17" t="str">
        <f aca="false">IF(AND($D20&lt;&gt;"",$E20&lt;&gt;"",N$5&gt;=$D20,N$5&lt;=$E20),IF($F20&gt;=1,3,IF($G20="Blocked",2,IF($G20="Conditional",4,1))),"")</f>
        <v/>
      </c>
      <c r="O20" s="17" t="n">
        <f aca="false">IF(AND($D20&lt;&gt;"",$E20&lt;&gt;"",O$5&gt;=$D20,O$5&lt;=$E20),IF($F20&gt;=1,3,IF($G20="Blocked",2,IF($G20="Conditional",4,1))),"")</f>
        <v>3</v>
      </c>
      <c r="P20" s="17" t="n">
        <f aca="false">IF(AND($D20&lt;&gt;"",$E20&lt;&gt;"",P$5&gt;=$D20,P$5&lt;=$E20),IF($F20&gt;=1,3,IF($G20="Blocked",2,IF($G20="Conditional",4,1))),"")</f>
        <v>3</v>
      </c>
      <c r="Q20" s="17" t="n">
        <f aca="false">IF(AND($D20&lt;&gt;"",$E20&lt;&gt;"",Q$5&gt;=$D20,Q$5&lt;=$E20),IF($F20&gt;=1,3,IF($G20="Blocked",2,IF($G20="Conditional",4,1))),"")</f>
        <v>3</v>
      </c>
      <c r="R20" s="17" t="str">
        <f aca="false">IF(AND($D20&lt;&gt;"",$E20&lt;&gt;"",R$5&gt;=$D20,R$5&lt;=$E20),IF($F20&gt;=1,3,IF($G20="Blocked",2,IF($G20="Conditional",4,1))),"")</f>
        <v/>
      </c>
      <c r="S20" s="17" t="str">
        <f aca="false">IF(AND($D20&lt;&gt;"",$E20&lt;&gt;"",S$5&gt;=$D20,S$5&lt;=$E20),IF($F20&gt;=1,3,IF($G20="Blocked",2,IF($G20="Conditional",4,1))),"")</f>
        <v/>
      </c>
      <c r="T20" s="17" t="str">
        <f aca="false">IF(AND($D20&lt;&gt;"",$E20&lt;&gt;"",T$5&gt;=$D20,T$5&lt;=$E20),IF($F20&gt;=1,3,IF($G20="Blocked",2,IF($G20="Conditional",4,1))),"")</f>
        <v/>
      </c>
      <c r="U20" s="17" t="str">
        <f aca="false">IF(AND($D20&lt;&gt;"",$E20&lt;&gt;"",U$5&gt;=$D20,U$5&lt;=$E20),IF($F20&gt;=1,3,IF($G20="Blocked",2,IF($G20="Conditional",4,1))),"")</f>
        <v/>
      </c>
      <c r="V20" s="17" t="str">
        <f aca="false">IF(AND($D20&lt;&gt;"",$E20&lt;&gt;"",V$5&gt;=$D20,V$5&lt;=$E20),IF($F20&gt;=1,3,IF($G20="Blocked",2,IF($G20="Conditional",4,1))),"")</f>
        <v/>
      </c>
      <c r="W20" s="17" t="str">
        <f aca="false">IF(AND($D20&lt;&gt;"",$E20&lt;&gt;"",W$5&gt;=$D20,W$5&lt;=$E20),IF($F20&gt;=1,3,IF($G20="Blocked",2,IF($G20="Conditional",4,1))),"")</f>
        <v/>
      </c>
      <c r="X20" s="17" t="str">
        <f aca="false">IF(AND($D20&lt;&gt;"",$E20&lt;&gt;"",X$5&gt;=$D20,X$5&lt;=$E20),IF($F20&gt;=1,3,IF($G20="Blocked",2,IF($G20="Conditional",4,1))),"")</f>
        <v/>
      </c>
      <c r="Y20" s="17" t="str">
        <f aca="false">IF(AND($D20&lt;&gt;"",$E20&lt;&gt;"",Y$5&gt;=$D20,Y$5&lt;=$E20),IF($F20&gt;=1,3,IF($G20="Blocked",2,IF($G20="Conditional",4,1))),"")</f>
        <v/>
      </c>
      <c r="Z20" s="17" t="str">
        <f aca="false">IF(AND($D20&lt;&gt;"",$E20&lt;&gt;"",Z$5&gt;=$D20,Z$5&lt;=$E20),IF($F20&gt;=1,3,IF($G20="Blocked",2,IF($G20="Conditional",4,1))),"")</f>
        <v/>
      </c>
      <c r="AA20" s="17" t="str">
        <f aca="false">IF(AND($D20&lt;&gt;"",$E20&lt;&gt;"",AA$5&gt;=$D20,AA$5&lt;=$E20),IF($F20&gt;=1,3,IF($G20="Blocked",2,IF($G20="Conditional",4,1))),"")</f>
        <v/>
      </c>
      <c r="AB20" s="17" t="str">
        <f aca="false">IF(AND($D20&lt;&gt;"",$E20&lt;&gt;"",AB$5&gt;=$D20,AB$5&lt;=$E20),IF($F20&gt;=1,3,IF($G20="Blocked",2,IF($G20="Conditional",4,1))),"")</f>
        <v/>
      </c>
    </row>
    <row r="21" customFormat="false" ht="21.75" hidden="false" customHeight="true" outlineLevel="0" collapsed="false">
      <c r="A21" s="13" t="s">
        <v>66</v>
      </c>
      <c r="B21" s="14" t="s">
        <v>67</v>
      </c>
      <c r="C21" s="15" t="s">
        <v>59</v>
      </c>
      <c r="D21" s="15" t="n">
        <v>10</v>
      </c>
      <c r="E21" s="15" t="n">
        <v>12</v>
      </c>
      <c r="F21" s="16" t="n">
        <v>1</v>
      </c>
      <c r="G21" s="15" t="s">
        <v>35</v>
      </c>
      <c r="H21" s="17" t="str">
        <f aca="false">IF(AND($D21&lt;&gt;"",$E21&lt;&gt;"",H$5&gt;=$D21,H$5&lt;=$E21),IF($F21&gt;=1,3,IF($G21="Blocked",2,IF($G21="Conditional",4,1))),"")</f>
        <v/>
      </c>
      <c r="I21" s="17" t="str">
        <f aca="false">IF(AND($D21&lt;&gt;"",$E21&lt;&gt;"",I$5&gt;=$D21,I$5&lt;=$E21),IF($F21&gt;=1,3,IF($G21="Blocked",2,IF($G21="Conditional",4,1))),"")</f>
        <v/>
      </c>
      <c r="J21" s="18" t="str">
        <f aca="false">IF(AND($D21&lt;&gt;"",$E21&lt;&gt;"",J$5&gt;=$D21,J$5&lt;=$E21),IF($F21&gt;=1,3,IF($G21="Blocked",2,IF($G21="Conditional",4,1))),"")</f>
        <v/>
      </c>
      <c r="K21" s="17" t="str">
        <f aca="false">IF(AND($D21&lt;&gt;"",$E21&lt;&gt;"",K$5&gt;=$D21,K$5&lt;=$E21),IF($F21&gt;=1,3,IF($G21="Blocked",2,IF($G21="Conditional",4,1))),"")</f>
        <v/>
      </c>
      <c r="L21" s="17" t="str">
        <f aca="false">IF(AND($D21&lt;&gt;"",$E21&lt;&gt;"",L$5&gt;=$D21,L$5&lt;=$E21),IF($F21&gt;=1,3,IF($G21="Blocked",2,IF($G21="Conditional",4,1))),"")</f>
        <v/>
      </c>
      <c r="M21" s="17" t="str">
        <f aca="false">IF(AND($D21&lt;&gt;"",$E21&lt;&gt;"",M$5&gt;=$D21,M$5&lt;=$E21),IF($F21&gt;=1,3,IF($G21="Blocked",2,IF($G21="Conditional",4,1))),"")</f>
        <v/>
      </c>
      <c r="N21" s="17" t="str">
        <f aca="false">IF(AND($D21&lt;&gt;"",$E21&lt;&gt;"",N$5&gt;=$D21,N$5&lt;=$E21),IF($F21&gt;=1,3,IF($G21="Blocked",2,IF($G21="Conditional",4,1))),"")</f>
        <v/>
      </c>
      <c r="O21" s="17" t="str">
        <f aca="false">IF(AND($D21&lt;&gt;"",$E21&lt;&gt;"",O$5&gt;=$D21,O$5&lt;=$E21),IF($F21&gt;=1,3,IF($G21="Blocked",2,IF($G21="Conditional",4,1))),"")</f>
        <v/>
      </c>
      <c r="P21" s="17" t="str">
        <f aca="false">IF(AND($D21&lt;&gt;"",$E21&lt;&gt;"",P$5&gt;=$D21,P$5&lt;=$E21),IF($F21&gt;=1,3,IF($G21="Blocked",2,IF($G21="Conditional",4,1))),"")</f>
        <v/>
      </c>
      <c r="Q21" s="17" t="n">
        <f aca="false">IF(AND($D21&lt;&gt;"",$E21&lt;&gt;"",Q$5&gt;=$D21,Q$5&lt;=$E21),IF($F21&gt;=1,3,IF($G21="Blocked",2,IF($G21="Conditional",4,1))),"")</f>
        <v>3</v>
      </c>
      <c r="R21" s="17" t="n">
        <f aca="false">IF(AND($D21&lt;&gt;"",$E21&lt;&gt;"",R$5&gt;=$D21,R$5&lt;=$E21),IF($F21&gt;=1,3,IF($G21="Blocked",2,IF($G21="Conditional",4,1))),"")</f>
        <v>3</v>
      </c>
      <c r="S21" s="17" t="n">
        <f aca="false">IF(AND($D21&lt;&gt;"",$E21&lt;&gt;"",S$5&gt;=$D21,S$5&lt;=$E21),IF($F21&gt;=1,3,IF($G21="Blocked",2,IF($G21="Conditional",4,1))),"")</f>
        <v>3</v>
      </c>
      <c r="T21" s="17" t="str">
        <f aca="false">IF(AND($D21&lt;&gt;"",$E21&lt;&gt;"",T$5&gt;=$D21,T$5&lt;=$E21),IF($F21&gt;=1,3,IF($G21="Blocked",2,IF($G21="Conditional",4,1))),"")</f>
        <v/>
      </c>
      <c r="U21" s="17" t="str">
        <f aca="false">IF(AND($D21&lt;&gt;"",$E21&lt;&gt;"",U$5&gt;=$D21,U$5&lt;=$E21),IF($F21&gt;=1,3,IF($G21="Blocked",2,IF($G21="Conditional",4,1))),"")</f>
        <v/>
      </c>
      <c r="V21" s="17" t="str">
        <f aca="false">IF(AND($D21&lt;&gt;"",$E21&lt;&gt;"",V$5&gt;=$D21,V$5&lt;=$E21),IF($F21&gt;=1,3,IF($G21="Blocked",2,IF($G21="Conditional",4,1))),"")</f>
        <v/>
      </c>
      <c r="W21" s="17" t="str">
        <f aca="false">IF(AND($D21&lt;&gt;"",$E21&lt;&gt;"",W$5&gt;=$D21,W$5&lt;=$E21),IF($F21&gt;=1,3,IF($G21="Blocked",2,IF($G21="Conditional",4,1))),"")</f>
        <v/>
      </c>
      <c r="X21" s="17" t="str">
        <f aca="false">IF(AND($D21&lt;&gt;"",$E21&lt;&gt;"",X$5&gt;=$D21,X$5&lt;=$E21),IF($F21&gt;=1,3,IF($G21="Blocked",2,IF($G21="Conditional",4,1))),"")</f>
        <v/>
      </c>
      <c r="Y21" s="17" t="str">
        <f aca="false">IF(AND($D21&lt;&gt;"",$E21&lt;&gt;"",Y$5&gt;=$D21,Y$5&lt;=$E21),IF($F21&gt;=1,3,IF($G21="Blocked",2,IF($G21="Conditional",4,1))),"")</f>
        <v/>
      </c>
      <c r="Z21" s="17" t="str">
        <f aca="false">IF(AND($D21&lt;&gt;"",$E21&lt;&gt;"",Z$5&gt;=$D21,Z$5&lt;=$E21),IF($F21&gt;=1,3,IF($G21="Blocked",2,IF($G21="Conditional",4,1))),"")</f>
        <v/>
      </c>
      <c r="AA21" s="17" t="str">
        <f aca="false">IF(AND($D21&lt;&gt;"",$E21&lt;&gt;"",AA$5&gt;=$D21,AA$5&lt;=$E21),IF($F21&gt;=1,3,IF($G21="Blocked",2,IF($G21="Conditional",4,1))),"")</f>
        <v/>
      </c>
      <c r="AB21" s="17" t="str">
        <f aca="false">IF(AND($D21&lt;&gt;"",$E21&lt;&gt;"",AB$5&gt;=$D21,AB$5&lt;=$E21),IF($F21&gt;=1,3,IF($G21="Blocked",2,IF($G21="Conditional",4,1))),"")</f>
        <v/>
      </c>
    </row>
    <row r="22" customFormat="false" ht="21.75" hidden="false" customHeight="true" outlineLevel="0" collapsed="false">
      <c r="A22" s="13" t="s">
        <v>68</v>
      </c>
      <c r="B22" s="14" t="s">
        <v>69</v>
      </c>
      <c r="C22" s="15" t="s">
        <v>59</v>
      </c>
      <c r="D22" s="15" t="n">
        <v>12</v>
      </c>
      <c r="E22" s="15" t="n">
        <v>13</v>
      </c>
      <c r="F22" s="16" t="n">
        <v>0.2</v>
      </c>
      <c r="G22" s="15" t="s">
        <v>44</v>
      </c>
      <c r="H22" s="17" t="str">
        <f aca="false">IF(AND($D22&lt;&gt;"",$E22&lt;&gt;"",H$5&gt;=$D22,H$5&lt;=$E22),IF($F22&gt;=1,3,IF($G22="Blocked",2,IF($G22="Conditional",4,1))),"")</f>
        <v/>
      </c>
      <c r="I22" s="17" t="str">
        <f aca="false">IF(AND($D22&lt;&gt;"",$E22&lt;&gt;"",I$5&gt;=$D22,I$5&lt;=$E22),IF($F22&gt;=1,3,IF($G22="Blocked",2,IF($G22="Conditional",4,1))),"")</f>
        <v/>
      </c>
      <c r="J22" s="18" t="str">
        <f aca="false">IF(AND($D22&lt;&gt;"",$E22&lt;&gt;"",J$5&gt;=$D22,J$5&lt;=$E22),IF($F22&gt;=1,3,IF($G22="Blocked",2,IF($G22="Conditional",4,1))),"")</f>
        <v/>
      </c>
      <c r="K22" s="17" t="str">
        <f aca="false">IF(AND($D22&lt;&gt;"",$E22&lt;&gt;"",K$5&gt;=$D22,K$5&lt;=$E22),IF($F22&gt;=1,3,IF($G22="Blocked",2,IF($G22="Conditional",4,1))),"")</f>
        <v/>
      </c>
      <c r="L22" s="17" t="str">
        <f aca="false">IF(AND($D22&lt;&gt;"",$E22&lt;&gt;"",L$5&gt;=$D22,L$5&lt;=$E22),IF($F22&gt;=1,3,IF($G22="Blocked",2,IF($G22="Conditional",4,1))),"")</f>
        <v/>
      </c>
      <c r="M22" s="17" t="str">
        <f aca="false">IF(AND($D22&lt;&gt;"",$E22&lt;&gt;"",M$5&gt;=$D22,M$5&lt;=$E22),IF($F22&gt;=1,3,IF($G22="Blocked",2,IF($G22="Conditional",4,1))),"")</f>
        <v/>
      </c>
      <c r="N22" s="17" t="str">
        <f aca="false">IF(AND($D22&lt;&gt;"",$E22&lt;&gt;"",N$5&gt;=$D22,N$5&lt;=$E22),IF($F22&gt;=1,3,IF($G22="Blocked",2,IF($G22="Conditional",4,1))),"")</f>
        <v/>
      </c>
      <c r="O22" s="17" t="str">
        <f aca="false">IF(AND($D22&lt;&gt;"",$E22&lt;&gt;"",O$5&gt;=$D22,O$5&lt;=$E22),IF($F22&gt;=1,3,IF($G22="Blocked",2,IF($G22="Conditional",4,1))),"")</f>
        <v/>
      </c>
      <c r="P22" s="17" t="str">
        <f aca="false">IF(AND($D22&lt;&gt;"",$E22&lt;&gt;"",P$5&gt;=$D22,P$5&lt;=$E22),IF($F22&gt;=1,3,IF($G22="Blocked",2,IF($G22="Conditional",4,1))),"")</f>
        <v/>
      </c>
      <c r="Q22" s="17" t="str">
        <f aca="false">IF(AND($D22&lt;&gt;"",$E22&lt;&gt;"",Q$5&gt;=$D22,Q$5&lt;=$E22),IF($F22&gt;=1,3,IF($G22="Blocked",2,IF($G22="Conditional",4,1))),"")</f>
        <v/>
      </c>
      <c r="R22" s="17" t="str">
        <f aca="false">IF(AND($D22&lt;&gt;"",$E22&lt;&gt;"",R$5&gt;=$D22,R$5&lt;=$E22),IF($F22&gt;=1,3,IF($G22="Blocked",2,IF($G22="Conditional",4,1))),"")</f>
        <v/>
      </c>
      <c r="S22" s="17" t="n">
        <f aca="false">IF(AND($D22&lt;&gt;"",$E22&lt;&gt;"",S$5&gt;=$D22,S$5&lt;=$E22),IF($F22&gt;=1,3,IF($G22="Blocked",2,IF($G22="Conditional",4,1))),"")</f>
        <v>1</v>
      </c>
      <c r="T22" s="17" t="n">
        <f aca="false">IF(AND($D22&lt;&gt;"",$E22&lt;&gt;"",T$5&gt;=$D22,T$5&lt;=$E22),IF($F22&gt;=1,3,IF($G22="Blocked",2,IF($G22="Conditional",4,1))),"")</f>
        <v>1</v>
      </c>
      <c r="U22" s="17" t="str">
        <f aca="false">IF(AND($D22&lt;&gt;"",$E22&lt;&gt;"",U$5&gt;=$D22,U$5&lt;=$E22),IF($F22&gt;=1,3,IF($G22="Blocked",2,IF($G22="Conditional",4,1))),"")</f>
        <v/>
      </c>
      <c r="V22" s="17" t="str">
        <f aca="false">IF(AND($D22&lt;&gt;"",$E22&lt;&gt;"",V$5&gt;=$D22,V$5&lt;=$E22),IF($F22&gt;=1,3,IF($G22="Blocked",2,IF($G22="Conditional",4,1))),"")</f>
        <v/>
      </c>
      <c r="W22" s="17" t="str">
        <f aca="false">IF(AND($D22&lt;&gt;"",$E22&lt;&gt;"",W$5&gt;=$D22,W$5&lt;=$E22),IF($F22&gt;=1,3,IF($G22="Blocked",2,IF($G22="Conditional",4,1))),"")</f>
        <v/>
      </c>
      <c r="X22" s="17" t="str">
        <f aca="false">IF(AND($D22&lt;&gt;"",$E22&lt;&gt;"",X$5&gt;=$D22,X$5&lt;=$E22),IF($F22&gt;=1,3,IF($G22="Blocked",2,IF($G22="Conditional",4,1))),"")</f>
        <v/>
      </c>
      <c r="Y22" s="17" t="str">
        <f aca="false">IF(AND($D22&lt;&gt;"",$E22&lt;&gt;"",Y$5&gt;=$D22,Y$5&lt;=$E22),IF($F22&gt;=1,3,IF($G22="Blocked",2,IF($G22="Conditional",4,1))),"")</f>
        <v/>
      </c>
      <c r="Z22" s="17" t="str">
        <f aca="false">IF(AND($D22&lt;&gt;"",$E22&lt;&gt;"",Z$5&gt;=$D22,Z$5&lt;=$E22),IF($F22&gt;=1,3,IF($G22="Blocked",2,IF($G22="Conditional",4,1))),"")</f>
        <v/>
      </c>
      <c r="AA22" s="17" t="str">
        <f aca="false">IF(AND($D22&lt;&gt;"",$E22&lt;&gt;"",AA$5&gt;=$D22,AA$5&lt;=$E22),IF($F22&gt;=1,3,IF($G22="Blocked",2,IF($G22="Conditional",4,1))),"")</f>
        <v/>
      </c>
      <c r="AB22" s="17" t="str">
        <f aca="false">IF(AND($D22&lt;&gt;"",$E22&lt;&gt;"",AB$5&gt;=$D22,AB$5&lt;=$E22),IF($F22&gt;=1,3,IF($G22="Blocked",2,IF($G22="Conditional",4,1))),"")</f>
        <v/>
      </c>
    </row>
    <row r="23" customFormat="false" ht="21.75" hidden="false" customHeight="true" outlineLevel="0" collapsed="false">
      <c r="A23" s="9" t="s">
        <v>70</v>
      </c>
      <c r="B23" s="10" t="s">
        <v>71</v>
      </c>
      <c r="C23" s="11"/>
      <c r="D23" s="11"/>
      <c r="E23" s="11"/>
      <c r="F23" s="11"/>
      <c r="G23" s="11"/>
      <c r="H23" s="11"/>
      <c r="I23" s="11"/>
      <c r="J23" s="12"/>
      <c r="K23" s="11"/>
      <c r="L23" s="11"/>
      <c r="M23" s="11"/>
      <c r="N23" s="11"/>
      <c r="O23" s="11"/>
      <c r="P23" s="11"/>
      <c r="Q23" s="11"/>
      <c r="R23" s="11"/>
      <c r="S23" s="11"/>
      <c r="T23" s="11"/>
      <c r="U23" s="11"/>
      <c r="V23" s="11"/>
      <c r="W23" s="11"/>
      <c r="X23" s="11"/>
      <c r="Y23" s="11"/>
      <c r="Z23" s="11"/>
      <c r="AA23" s="11"/>
      <c r="AB23" s="11"/>
    </row>
    <row r="24" customFormat="false" ht="21.75" hidden="false" customHeight="true" outlineLevel="0" collapsed="false">
      <c r="A24" s="13" t="s">
        <v>72</v>
      </c>
      <c r="B24" s="14" t="s">
        <v>73</v>
      </c>
      <c r="C24" s="15" t="s">
        <v>59</v>
      </c>
      <c r="D24" s="15" t="n">
        <v>10</v>
      </c>
      <c r="E24" s="15" t="n">
        <v>12</v>
      </c>
      <c r="F24" s="16" t="n">
        <v>0.6</v>
      </c>
      <c r="G24" s="15" t="s">
        <v>44</v>
      </c>
      <c r="H24" s="17" t="str">
        <f aca="false">IF(AND($D24&lt;&gt;"",$E24&lt;&gt;"",H$5&gt;=$D24,H$5&lt;=$E24),IF($F24&gt;=1,3,IF($G24="Blocked",2,IF($G24="Conditional",4,1))),"")</f>
        <v/>
      </c>
      <c r="I24" s="17" t="str">
        <f aca="false">IF(AND($D24&lt;&gt;"",$E24&lt;&gt;"",I$5&gt;=$D24,I$5&lt;=$E24),IF($F24&gt;=1,3,IF($G24="Blocked",2,IF($G24="Conditional",4,1))),"")</f>
        <v/>
      </c>
      <c r="J24" s="18" t="str">
        <f aca="false">IF(AND($D24&lt;&gt;"",$E24&lt;&gt;"",J$5&gt;=$D24,J$5&lt;=$E24),IF($F24&gt;=1,3,IF($G24="Blocked",2,IF($G24="Conditional",4,1))),"")</f>
        <v/>
      </c>
      <c r="K24" s="17" t="str">
        <f aca="false">IF(AND($D24&lt;&gt;"",$E24&lt;&gt;"",K$5&gt;=$D24,K$5&lt;=$E24),IF($F24&gt;=1,3,IF($G24="Blocked",2,IF($G24="Conditional",4,1))),"")</f>
        <v/>
      </c>
      <c r="L24" s="17" t="str">
        <f aca="false">IF(AND($D24&lt;&gt;"",$E24&lt;&gt;"",L$5&gt;=$D24,L$5&lt;=$E24),IF($F24&gt;=1,3,IF($G24="Blocked",2,IF($G24="Conditional",4,1))),"")</f>
        <v/>
      </c>
      <c r="M24" s="17" t="str">
        <f aca="false">IF(AND($D24&lt;&gt;"",$E24&lt;&gt;"",M$5&gt;=$D24,M$5&lt;=$E24),IF($F24&gt;=1,3,IF($G24="Blocked",2,IF($G24="Conditional",4,1))),"")</f>
        <v/>
      </c>
      <c r="N24" s="17" t="str">
        <f aca="false">IF(AND($D24&lt;&gt;"",$E24&lt;&gt;"",N$5&gt;=$D24,N$5&lt;=$E24),IF($F24&gt;=1,3,IF($G24="Blocked",2,IF($G24="Conditional",4,1))),"")</f>
        <v/>
      </c>
      <c r="O24" s="17" t="str">
        <f aca="false">IF(AND($D24&lt;&gt;"",$E24&lt;&gt;"",O$5&gt;=$D24,O$5&lt;=$E24),IF($F24&gt;=1,3,IF($G24="Blocked",2,IF($G24="Conditional",4,1))),"")</f>
        <v/>
      </c>
      <c r="P24" s="17" t="str">
        <f aca="false">IF(AND($D24&lt;&gt;"",$E24&lt;&gt;"",P$5&gt;=$D24,P$5&lt;=$E24),IF($F24&gt;=1,3,IF($G24="Blocked",2,IF($G24="Conditional",4,1))),"")</f>
        <v/>
      </c>
      <c r="Q24" s="17" t="n">
        <f aca="false">IF(AND($D24&lt;&gt;"",$E24&lt;&gt;"",Q$5&gt;=$D24,Q$5&lt;=$E24),IF($F24&gt;=1,3,IF($G24="Blocked",2,IF($G24="Conditional",4,1))),"")</f>
        <v>1</v>
      </c>
      <c r="R24" s="17" t="n">
        <f aca="false">IF(AND($D24&lt;&gt;"",$E24&lt;&gt;"",R$5&gt;=$D24,R$5&lt;=$E24),IF($F24&gt;=1,3,IF($G24="Blocked",2,IF($G24="Conditional",4,1))),"")</f>
        <v>1</v>
      </c>
      <c r="S24" s="17" t="n">
        <f aca="false">IF(AND($D24&lt;&gt;"",$E24&lt;&gt;"",S$5&gt;=$D24,S$5&lt;=$E24),IF($F24&gt;=1,3,IF($G24="Blocked",2,IF($G24="Conditional",4,1))),"")</f>
        <v>1</v>
      </c>
      <c r="T24" s="17" t="str">
        <f aca="false">IF(AND($D24&lt;&gt;"",$E24&lt;&gt;"",T$5&gt;=$D24,T$5&lt;=$E24),IF($F24&gt;=1,3,IF($G24="Blocked",2,IF($G24="Conditional",4,1))),"")</f>
        <v/>
      </c>
      <c r="U24" s="17" t="str">
        <f aca="false">IF(AND($D24&lt;&gt;"",$E24&lt;&gt;"",U$5&gt;=$D24,U$5&lt;=$E24),IF($F24&gt;=1,3,IF($G24="Blocked",2,IF($G24="Conditional",4,1))),"")</f>
        <v/>
      </c>
      <c r="V24" s="17" t="str">
        <f aca="false">IF(AND($D24&lt;&gt;"",$E24&lt;&gt;"",V$5&gt;=$D24,V$5&lt;=$E24),IF($F24&gt;=1,3,IF($G24="Blocked",2,IF($G24="Conditional",4,1))),"")</f>
        <v/>
      </c>
      <c r="W24" s="17" t="str">
        <f aca="false">IF(AND($D24&lt;&gt;"",$E24&lt;&gt;"",W$5&gt;=$D24,W$5&lt;=$E24),IF($F24&gt;=1,3,IF($G24="Blocked",2,IF($G24="Conditional",4,1))),"")</f>
        <v/>
      </c>
      <c r="X24" s="17" t="str">
        <f aca="false">IF(AND($D24&lt;&gt;"",$E24&lt;&gt;"",X$5&gt;=$D24,X$5&lt;=$E24),IF($F24&gt;=1,3,IF($G24="Blocked",2,IF($G24="Conditional",4,1))),"")</f>
        <v/>
      </c>
      <c r="Y24" s="17" t="str">
        <f aca="false">IF(AND($D24&lt;&gt;"",$E24&lt;&gt;"",Y$5&gt;=$D24,Y$5&lt;=$E24),IF($F24&gt;=1,3,IF($G24="Blocked",2,IF($G24="Conditional",4,1))),"")</f>
        <v/>
      </c>
      <c r="Z24" s="17" t="str">
        <f aca="false">IF(AND($D24&lt;&gt;"",$E24&lt;&gt;"",Z$5&gt;=$D24,Z$5&lt;=$E24),IF($F24&gt;=1,3,IF($G24="Blocked",2,IF($G24="Conditional",4,1))),"")</f>
        <v/>
      </c>
      <c r="AA24" s="17" t="str">
        <f aca="false">IF(AND($D24&lt;&gt;"",$E24&lt;&gt;"",AA$5&gt;=$D24,AA$5&lt;=$E24),IF($F24&gt;=1,3,IF($G24="Blocked",2,IF($G24="Conditional",4,1))),"")</f>
        <v/>
      </c>
      <c r="AB24" s="17" t="str">
        <f aca="false">IF(AND($D24&lt;&gt;"",$E24&lt;&gt;"",AB$5&gt;=$D24,AB$5&lt;=$E24),IF($F24&gt;=1,3,IF($G24="Blocked",2,IF($G24="Conditional",4,1))),"")</f>
        <v/>
      </c>
    </row>
    <row r="25" customFormat="false" ht="21.75" hidden="false" customHeight="true" outlineLevel="0" collapsed="false">
      <c r="A25" s="13" t="s">
        <v>74</v>
      </c>
      <c r="B25" s="14" t="s">
        <v>75</v>
      </c>
      <c r="C25" s="15" t="s">
        <v>59</v>
      </c>
      <c r="D25" s="15" t="n">
        <v>12</v>
      </c>
      <c r="E25" s="15" t="n">
        <v>14</v>
      </c>
      <c r="F25" s="16" t="n">
        <v>0</v>
      </c>
      <c r="G25" s="15" t="s">
        <v>52</v>
      </c>
      <c r="H25" s="17" t="str">
        <f aca="false">IF(AND($D25&lt;&gt;"",$E25&lt;&gt;"",H$5&gt;=$D25,H$5&lt;=$E25),IF($F25&gt;=1,3,IF($G25="Blocked",2,IF($G25="Conditional",4,1))),"")</f>
        <v/>
      </c>
      <c r="I25" s="17" t="str">
        <f aca="false">IF(AND($D25&lt;&gt;"",$E25&lt;&gt;"",I$5&gt;=$D25,I$5&lt;=$E25),IF($F25&gt;=1,3,IF($G25="Blocked",2,IF($G25="Conditional",4,1))),"")</f>
        <v/>
      </c>
      <c r="J25" s="18" t="str">
        <f aca="false">IF(AND($D25&lt;&gt;"",$E25&lt;&gt;"",J$5&gt;=$D25,J$5&lt;=$E25),IF($F25&gt;=1,3,IF($G25="Blocked",2,IF($G25="Conditional",4,1))),"")</f>
        <v/>
      </c>
      <c r="K25" s="17" t="str">
        <f aca="false">IF(AND($D25&lt;&gt;"",$E25&lt;&gt;"",K$5&gt;=$D25,K$5&lt;=$E25),IF($F25&gt;=1,3,IF($G25="Blocked",2,IF($G25="Conditional",4,1))),"")</f>
        <v/>
      </c>
      <c r="L25" s="17" t="str">
        <f aca="false">IF(AND($D25&lt;&gt;"",$E25&lt;&gt;"",L$5&gt;=$D25,L$5&lt;=$E25),IF($F25&gt;=1,3,IF($G25="Blocked",2,IF($G25="Conditional",4,1))),"")</f>
        <v/>
      </c>
      <c r="M25" s="17" t="str">
        <f aca="false">IF(AND($D25&lt;&gt;"",$E25&lt;&gt;"",M$5&gt;=$D25,M$5&lt;=$E25),IF($F25&gt;=1,3,IF($G25="Blocked",2,IF($G25="Conditional",4,1))),"")</f>
        <v/>
      </c>
      <c r="N25" s="17" t="str">
        <f aca="false">IF(AND($D25&lt;&gt;"",$E25&lt;&gt;"",N$5&gt;=$D25,N$5&lt;=$E25),IF($F25&gt;=1,3,IF($G25="Blocked",2,IF($G25="Conditional",4,1))),"")</f>
        <v/>
      </c>
      <c r="O25" s="17" t="str">
        <f aca="false">IF(AND($D25&lt;&gt;"",$E25&lt;&gt;"",O$5&gt;=$D25,O$5&lt;=$E25),IF($F25&gt;=1,3,IF($G25="Blocked",2,IF($G25="Conditional",4,1))),"")</f>
        <v/>
      </c>
      <c r="P25" s="17" t="str">
        <f aca="false">IF(AND($D25&lt;&gt;"",$E25&lt;&gt;"",P$5&gt;=$D25,P$5&lt;=$E25),IF($F25&gt;=1,3,IF($G25="Blocked",2,IF($G25="Conditional",4,1))),"")</f>
        <v/>
      </c>
      <c r="Q25" s="17" t="str">
        <f aca="false">IF(AND($D25&lt;&gt;"",$E25&lt;&gt;"",Q$5&gt;=$D25,Q$5&lt;=$E25),IF($F25&gt;=1,3,IF($G25="Blocked",2,IF($G25="Conditional",4,1))),"")</f>
        <v/>
      </c>
      <c r="R25" s="17" t="str">
        <f aca="false">IF(AND($D25&lt;&gt;"",$E25&lt;&gt;"",R$5&gt;=$D25,R$5&lt;=$E25),IF($F25&gt;=1,3,IF($G25="Blocked",2,IF($G25="Conditional",4,1))),"")</f>
        <v/>
      </c>
      <c r="S25" s="17" t="n">
        <f aca="false">IF(AND($D25&lt;&gt;"",$E25&lt;&gt;"",S$5&gt;=$D25,S$5&lt;=$E25),IF($F25&gt;=1,3,IF($G25="Blocked",2,IF($G25="Conditional",4,1))),"")</f>
        <v>1</v>
      </c>
      <c r="T25" s="17" t="n">
        <f aca="false">IF(AND($D25&lt;&gt;"",$E25&lt;&gt;"",T$5&gt;=$D25,T$5&lt;=$E25),IF($F25&gt;=1,3,IF($G25="Blocked",2,IF($G25="Conditional",4,1))),"")</f>
        <v>1</v>
      </c>
      <c r="U25" s="17" t="n">
        <f aca="false">IF(AND($D25&lt;&gt;"",$E25&lt;&gt;"",U$5&gt;=$D25,U$5&lt;=$E25),IF($F25&gt;=1,3,IF($G25="Blocked",2,IF($G25="Conditional",4,1))),"")</f>
        <v>1</v>
      </c>
      <c r="V25" s="17" t="str">
        <f aca="false">IF(AND($D25&lt;&gt;"",$E25&lt;&gt;"",V$5&gt;=$D25,V$5&lt;=$E25),IF($F25&gt;=1,3,IF($G25="Blocked",2,IF($G25="Conditional",4,1))),"")</f>
        <v/>
      </c>
      <c r="W25" s="17" t="str">
        <f aca="false">IF(AND($D25&lt;&gt;"",$E25&lt;&gt;"",W$5&gt;=$D25,W$5&lt;=$E25),IF($F25&gt;=1,3,IF($G25="Blocked",2,IF($G25="Conditional",4,1))),"")</f>
        <v/>
      </c>
      <c r="X25" s="17" t="str">
        <f aca="false">IF(AND($D25&lt;&gt;"",$E25&lt;&gt;"",X$5&gt;=$D25,X$5&lt;=$E25),IF($F25&gt;=1,3,IF($G25="Blocked",2,IF($G25="Conditional",4,1))),"")</f>
        <v/>
      </c>
      <c r="Y25" s="17" t="str">
        <f aca="false">IF(AND($D25&lt;&gt;"",$E25&lt;&gt;"",Y$5&gt;=$D25,Y$5&lt;=$E25),IF($F25&gt;=1,3,IF($G25="Blocked",2,IF($G25="Conditional",4,1))),"")</f>
        <v/>
      </c>
      <c r="Z25" s="17" t="str">
        <f aca="false">IF(AND($D25&lt;&gt;"",$E25&lt;&gt;"",Z$5&gt;=$D25,Z$5&lt;=$E25),IF($F25&gt;=1,3,IF($G25="Blocked",2,IF($G25="Conditional",4,1))),"")</f>
        <v/>
      </c>
      <c r="AA25" s="17" t="str">
        <f aca="false">IF(AND($D25&lt;&gt;"",$E25&lt;&gt;"",AA$5&gt;=$D25,AA$5&lt;=$E25),IF($F25&gt;=1,3,IF($G25="Blocked",2,IF($G25="Conditional",4,1))),"")</f>
        <v/>
      </c>
      <c r="AB25" s="17" t="str">
        <f aca="false">IF(AND($D25&lt;&gt;"",$E25&lt;&gt;"",AB$5&gt;=$D25,AB$5&lt;=$E25),IF($F25&gt;=1,3,IF($G25="Blocked",2,IF($G25="Conditional",4,1))),"")</f>
        <v/>
      </c>
    </row>
    <row r="26" customFormat="false" ht="21.75" hidden="false" customHeight="true" outlineLevel="0" collapsed="false">
      <c r="A26" s="13" t="s">
        <v>76</v>
      </c>
      <c r="B26" s="14" t="s">
        <v>77</v>
      </c>
      <c r="C26" s="15" t="s">
        <v>34</v>
      </c>
      <c r="D26" s="15" t="n">
        <v>13</v>
      </c>
      <c r="E26" s="15" t="n">
        <v>14</v>
      </c>
      <c r="F26" s="16" t="n">
        <v>0</v>
      </c>
      <c r="G26" s="15" t="s">
        <v>52</v>
      </c>
      <c r="H26" s="17" t="str">
        <f aca="false">IF(AND($D26&lt;&gt;"",$E26&lt;&gt;"",H$5&gt;=$D26,H$5&lt;=$E26),IF($F26&gt;=1,3,IF($G26="Blocked",2,IF($G26="Conditional",4,1))),"")</f>
        <v/>
      </c>
      <c r="I26" s="17" t="str">
        <f aca="false">IF(AND($D26&lt;&gt;"",$E26&lt;&gt;"",I$5&gt;=$D26,I$5&lt;=$E26),IF($F26&gt;=1,3,IF($G26="Blocked",2,IF($G26="Conditional",4,1))),"")</f>
        <v/>
      </c>
      <c r="J26" s="18" t="str">
        <f aca="false">IF(AND($D26&lt;&gt;"",$E26&lt;&gt;"",J$5&gt;=$D26,J$5&lt;=$E26),IF($F26&gt;=1,3,IF($G26="Blocked",2,IF($G26="Conditional",4,1))),"")</f>
        <v/>
      </c>
      <c r="K26" s="17" t="str">
        <f aca="false">IF(AND($D26&lt;&gt;"",$E26&lt;&gt;"",K$5&gt;=$D26,K$5&lt;=$E26),IF($F26&gt;=1,3,IF($G26="Blocked",2,IF($G26="Conditional",4,1))),"")</f>
        <v/>
      </c>
      <c r="L26" s="17" t="str">
        <f aca="false">IF(AND($D26&lt;&gt;"",$E26&lt;&gt;"",L$5&gt;=$D26,L$5&lt;=$E26),IF($F26&gt;=1,3,IF($G26="Blocked",2,IF($G26="Conditional",4,1))),"")</f>
        <v/>
      </c>
      <c r="M26" s="17" t="str">
        <f aca="false">IF(AND($D26&lt;&gt;"",$E26&lt;&gt;"",M$5&gt;=$D26,M$5&lt;=$E26),IF($F26&gt;=1,3,IF($G26="Blocked",2,IF($G26="Conditional",4,1))),"")</f>
        <v/>
      </c>
      <c r="N26" s="17" t="str">
        <f aca="false">IF(AND($D26&lt;&gt;"",$E26&lt;&gt;"",N$5&gt;=$D26,N$5&lt;=$E26),IF($F26&gt;=1,3,IF($G26="Blocked",2,IF($G26="Conditional",4,1))),"")</f>
        <v/>
      </c>
      <c r="O26" s="17" t="str">
        <f aca="false">IF(AND($D26&lt;&gt;"",$E26&lt;&gt;"",O$5&gt;=$D26,O$5&lt;=$E26),IF($F26&gt;=1,3,IF($G26="Blocked",2,IF($G26="Conditional",4,1))),"")</f>
        <v/>
      </c>
      <c r="P26" s="17" t="str">
        <f aca="false">IF(AND($D26&lt;&gt;"",$E26&lt;&gt;"",P$5&gt;=$D26,P$5&lt;=$E26),IF($F26&gt;=1,3,IF($G26="Blocked",2,IF($G26="Conditional",4,1))),"")</f>
        <v/>
      </c>
      <c r="Q26" s="17" t="str">
        <f aca="false">IF(AND($D26&lt;&gt;"",$E26&lt;&gt;"",Q$5&gt;=$D26,Q$5&lt;=$E26),IF($F26&gt;=1,3,IF($G26="Blocked",2,IF($G26="Conditional",4,1))),"")</f>
        <v/>
      </c>
      <c r="R26" s="17" t="str">
        <f aca="false">IF(AND($D26&lt;&gt;"",$E26&lt;&gt;"",R$5&gt;=$D26,R$5&lt;=$E26),IF($F26&gt;=1,3,IF($G26="Blocked",2,IF($G26="Conditional",4,1))),"")</f>
        <v/>
      </c>
      <c r="S26" s="17" t="str">
        <f aca="false">IF(AND($D26&lt;&gt;"",$E26&lt;&gt;"",S$5&gt;=$D26,S$5&lt;=$E26),IF($F26&gt;=1,3,IF($G26="Blocked",2,IF($G26="Conditional",4,1))),"")</f>
        <v/>
      </c>
      <c r="T26" s="17" t="n">
        <f aca="false">IF(AND($D26&lt;&gt;"",$E26&lt;&gt;"",T$5&gt;=$D26,T$5&lt;=$E26),IF($F26&gt;=1,3,IF($G26="Blocked",2,IF($G26="Conditional",4,1))),"")</f>
        <v>1</v>
      </c>
      <c r="U26" s="17" t="n">
        <f aca="false">IF(AND($D26&lt;&gt;"",$E26&lt;&gt;"",U$5&gt;=$D26,U$5&lt;=$E26),IF($F26&gt;=1,3,IF($G26="Blocked",2,IF($G26="Conditional",4,1))),"")</f>
        <v>1</v>
      </c>
      <c r="V26" s="17" t="str">
        <f aca="false">IF(AND($D26&lt;&gt;"",$E26&lt;&gt;"",V$5&gt;=$D26,V$5&lt;=$E26),IF($F26&gt;=1,3,IF($G26="Blocked",2,IF($G26="Conditional",4,1))),"")</f>
        <v/>
      </c>
      <c r="W26" s="17" t="str">
        <f aca="false">IF(AND($D26&lt;&gt;"",$E26&lt;&gt;"",W$5&gt;=$D26,W$5&lt;=$E26),IF($F26&gt;=1,3,IF($G26="Blocked",2,IF($G26="Conditional",4,1))),"")</f>
        <v/>
      </c>
      <c r="X26" s="17" t="str">
        <f aca="false">IF(AND($D26&lt;&gt;"",$E26&lt;&gt;"",X$5&gt;=$D26,X$5&lt;=$E26),IF($F26&gt;=1,3,IF($G26="Blocked",2,IF($G26="Conditional",4,1))),"")</f>
        <v/>
      </c>
      <c r="Y26" s="17" t="str">
        <f aca="false">IF(AND($D26&lt;&gt;"",$E26&lt;&gt;"",Y$5&gt;=$D26,Y$5&lt;=$E26),IF($F26&gt;=1,3,IF($G26="Blocked",2,IF($G26="Conditional",4,1))),"")</f>
        <v/>
      </c>
      <c r="Z26" s="17" t="str">
        <f aca="false">IF(AND($D26&lt;&gt;"",$E26&lt;&gt;"",Z$5&gt;=$D26,Z$5&lt;=$E26),IF($F26&gt;=1,3,IF($G26="Blocked",2,IF($G26="Conditional",4,1))),"")</f>
        <v/>
      </c>
      <c r="AA26" s="17" t="str">
        <f aca="false">IF(AND($D26&lt;&gt;"",$E26&lt;&gt;"",AA$5&gt;=$D26,AA$5&lt;=$E26),IF($F26&gt;=1,3,IF($G26="Blocked",2,IF($G26="Conditional",4,1))),"")</f>
        <v/>
      </c>
      <c r="AB26" s="17" t="str">
        <f aca="false">IF(AND($D26&lt;&gt;"",$E26&lt;&gt;"",AB$5&gt;=$D26,AB$5&lt;=$E26),IF($F26&gt;=1,3,IF($G26="Blocked",2,IF($G26="Conditional",4,1))),"")</f>
        <v/>
      </c>
    </row>
    <row r="27" customFormat="false" ht="21.75" hidden="false" customHeight="true" outlineLevel="0" collapsed="false">
      <c r="A27" s="13" t="s">
        <v>78</v>
      </c>
      <c r="B27" s="14" t="s">
        <v>79</v>
      </c>
      <c r="C27" s="15" t="s">
        <v>34</v>
      </c>
      <c r="D27" s="15" t="n">
        <v>14</v>
      </c>
      <c r="E27" s="15" t="n">
        <v>15</v>
      </c>
      <c r="F27" s="16" t="n">
        <v>0</v>
      </c>
      <c r="G27" s="15" t="s">
        <v>52</v>
      </c>
      <c r="H27" s="17" t="str">
        <f aca="false">IF(AND($D27&lt;&gt;"",$E27&lt;&gt;"",H$5&gt;=$D27,H$5&lt;=$E27),IF($F27&gt;=1,3,IF($G27="Blocked",2,IF($G27="Conditional",4,1))),"")</f>
        <v/>
      </c>
      <c r="I27" s="17" t="str">
        <f aca="false">IF(AND($D27&lt;&gt;"",$E27&lt;&gt;"",I$5&gt;=$D27,I$5&lt;=$E27),IF($F27&gt;=1,3,IF($G27="Blocked",2,IF($G27="Conditional",4,1))),"")</f>
        <v/>
      </c>
      <c r="J27" s="18" t="str">
        <f aca="false">IF(AND($D27&lt;&gt;"",$E27&lt;&gt;"",J$5&gt;=$D27,J$5&lt;=$E27),IF($F27&gt;=1,3,IF($G27="Blocked",2,IF($G27="Conditional",4,1))),"")</f>
        <v/>
      </c>
      <c r="K27" s="17" t="str">
        <f aca="false">IF(AND($D27&lt;&gt;"",$E27&lt;&gt;"",K$5&gt;=$D27,K$5&lt;=$E27),IF($F27&gt;=1,3,IF($G27="Blocked",2,IF($G27="Conditional",4,1))),"")</f>
        <v/>
      </c>
      <c r="L27" s="17" t="str">
        <f aca="false">IF(AND($D27&lt;&gt;"",$E27&lt;&gt;"",L$5&gt;=$D27,L$5&lt;=$E27),IF($F27&gt;=1,3,IF($G27="Blocked",2,IF($G27="Conditional",4,1))),"")</f>
        <v/>
      </c>
      <c r="M27" s="17" t="str">
        <f aca="false">IF(AND($D27&lt;&gt;"",$E27&lt;&gt;"",M$5&gt;=$D27,M$5&lt;=$E27),IF($F27&gt;=1,3,IF($G27="Blocked",2,IF($G27="Conditional",4,1))),"")</f>
        <v/>
      </c>
      <c r="N27" s="17" t="str">
        <f aca="false">IF(AND($D27&lt;&gt;"",$E27&lt;&gt;"",N$5&gt;=$D27,N$5&lt;=$E27),IF($F27&gt;=1,3,IF($G27="Blocked",2,IF($G27="Conditional",4,1))),"")</f>
        <v/>
      </c>
      <c r="O27" s="17" t="str">
        <f aca="false">IF(AND($D27&lt;&gt;"",$E27&lt;&gt;"",O$5&gt;=$D27,O$5&lt;=$E27),IF($F27&gt;=1,3,IF($G27="Blocked",2,IF($G27="Conditional",4,1))),"")</f>
        <v/>
      </c>
      <c r="P27" s="17" t="str">
        <f aca="false">IF(AND($D27&lt;&gt;"",$E27&lt;&gt;"",P$5&gt;=$D27,P$5&lt;=$E27),IF($F27&gt;=1,3,IF($G27="Blocked",2,IF($G27="Conditional",4,1))),"")</f>
        <v/>
      </c>
      <c r="Q27" s="17" t="str">
        <f aca="false">IF(AND($D27&lt;&gt;"",$E27&lt;&gt;"",Q$5&gt;=$D27,Q$5&lt;=$E27),IF($F27&gt;=1,3,IF($G27="Blocked",2,IF($G27="Conditional",4,1))),"")</f>
        <v/>
      </c>
      <c r="R27" s="17" t="str">
        <f aca="false">IF(AND($D27&lt;&gt;"",$E27&lt;&gt;"",R$5&gt;=$D27,R$5&lt;=$E27),IF($F27&gt;=1,3,IF($G27="Blocked",2,IF($G27="Conditional",4,1))),"")</f>
        <v/>
      </c>
      <c r="S27" s="17" t="str">
        <f aca="false">IF(AND($D27&lt;&gt;"",$E27&lt;&gt;"",S$5&gt;=$D27,S$5&lt;=$E27),IF($F27&gt;=1,3,IF($G27="Blocked",2,IF($G27="Conditional",4,1))),"")</f>
        <v/>
      </c>
      <c r="T27" s="17" t="str">
        <f aca="false">IF(AND($D27&lt;&gt;"",$E27&lt;&gt;"",T$5&gt;=$D27,T$5&lt;=$E27),IF($F27&gt;=1,3,IF($G27="Blocked",2,IF($G27="Conditional",4,1))),"")</f>
        <v/>
      </c>
      <c r="U27" s="17" t="n">
        <f aca="false">IF(AND($D27&lt;&gt;"",$E27&lt;&gt;"",U$5&gt;=$D27,U$5&lt;=$E27),IF($F27&gt;=1,3,IF($G27="Blocked",2,IF($G27="Conditional",4,1))),"")</f>
        <v>1</v>
      </c>
      <c r="V27" s="17" t="n">
        <f aca="false">IF(AND($D27&lt;&gt;"",$E27&lt;&gt;"",V$5&gt;=$D27,V$5&lt;=$E27),IF($F27&gt;=1,3,IF($G27="Blocked",2,IF($G27="Conditional",4,1))),"")</f>
        <v>1</v>
      </c>
      <c r="W27" s="17" t="str">
        <f aca="false">IF(AND($D27&lt;&gt;"",$E27&lt;&gt;"",W$5&gt;=$D27,W$5&lt;=$E27),IF($F27&gt;=1,3,IF($G27="Blocked",2,IF($G27="Conditional",4,1))),"")</f>
        <v/>
      </c>
      <c r="X27" s="17" t="str">
        <f aca="false">IF(AND($D27&lt;&gt;"",$E27&lt;&gt;"",X$5&gt;=$D27,X$5&lt;=$E27),IF($F27&gt;=1,3,IF($G27="Blocked",2,IF($G27="Conditional",4,1))),"")</f>
        <v/>
      </c>
      <c r="Y27" s="17" t="str">
        <f aca="false">IF(AND($D27&lt;&gt;"",$E27&lt;&gt;"",Y$5&gt;=$D27,Y$5&lt;=$E27),IF($F27&gt;=1,3,IF($G27="Blocked",2,IF($G27="Conditional",4,1))),"")</f>
        <v/>
      </c>
      <c r="Z27" s="17" t="str">
        <f aca="false">IF(AND($D27&lt;&gt;"",$E27&lt;&gt;"",Z$5&gt;=$D27,Z$5&lt;=$E27),IF($F27&gt;=1,3,IF($G27="Blocked",2,IF($G27="Conditional",4,1))),"")</f>
        <v/>
      </c>
      <c r="AA27" s="17" t="str">
        <f aca="false">IF(AND($D27&lt;&gt;"",$E27&lt;&gt;"",AA$5&gt;=$D27,AA$5&lt;=$E27),IF($F27&gt;=1,3,IF($G27="Blocked",2,IF($G27="Conditional",4,1))),"")</f>
        <v/>
      </c>
      <c r="AB27" s="17" t="str">
        <f aca="false">IF(AND($D27&lt;&gt;"",$E27&lt;&gt;"",AB$5&gt;=$D27,AB$5&lt;=$E27),IF($F27&gt;=1,3,IF($G27="Blocked",2,IF($G27="Conditional",4,1))),"")</f>
        <v/>
      </c>
    </row>
    <row r="28" customFormat="false" ht="21.75" hidden="false" customHeight="true" outlineLevel="0" collapsed="false">
      <c r="A28" s="13" t="s">
        <v>80</v>
      </c>
      <c r="B28" s="14" t="s">
        <v>81</v>
      </c>
      <c r="C28" s="15" t="s">
        <v>59</v>
      </c>
      <c r="D28" s="15" t="n">
        <v>13</v>
      </c>
      <c r="E28" s="15" t="n">
        <v>17</v>
      </c>
      <c r="F28" s="16" t="n">
        <v>0</v>
      </c>
      <c r="G28" s="15" t="s">
        <v>49</v>
      </c>
      <c r="H28" s="17" t="str">
        <f aca="false">IF(AND($D28&lt;&gt;"",$E28&lt;&gt;"",H$5&gt;=$D28,H$5&lt;=$E28),IF($F28&gt;=1,3,IF($G28="Blocked",2,IF($G28="Conditional",4,1))),"")</f>
        <v/>
      </c>
      <c r="I28" s="17" t="str">
        <f aca="false">IF(AND($D28&lt;&gt;"",$E28&lt;&gt;"",I$5&gt;=$D28,I$5&lt;=$E28),IF($F28&gt;=1,3,IF($G28="Blocked",2,IF($G28="Conditional",4,1))),"")</f>
        <v/>
      </c>
      <c r="J28" s="18" t="str">
        <f aca="false">IF(AND($D28&lt;&gt;"",$E28&lt;&gt;"",J$5&gt;=$D28,J$5&lt;=$E28),IF($F28&gt;=1,3,IF($G28="Blocked",2,IF($G28="Conditional",4,1))),"")</f>
        <v/>
      </c>
      <c r="K28" s="17" t="str">
        <f aca="false">IF(AND($D28&lt;&gt;"",$E28&lt;&gt;"",K$5&gt;=$D28,K$5&lt;=$E28),IF($F28&gt;=1,3,IF($G28="Blocked",2,IF($G28="Conditional",4,1))),"")</f>
        <v/>
      </c>
      <c r="L28" s="17" t="str">
        <f aca="false">IF(AND($D28&lt;&gt;"",$E28&lt;&gt;"",L$5&gt;=$D28,L$5&lt;=$E28),IF($F28&gt;=1,3,IF($G28="Blocked",2,IF($G28="Conditional",4,1))),"")</f>
        <v/>
      </c>
      <c r="M28" s="17" t="str">
        <f aca="false">IF(AND($D28&lt;&gt;"",$E28&lt;&gt;"",M$5&gt;=$D28,M$5&lt;=$E28),IF($F28&gt;=1,3,IF($G28="Blocked",2,IF($G28="Conditional",4,1))),"")</f>
        <v/>
      </c>
      <c r="N28" s="17" t="str">
        <f aca="false">IF(AND($D28&lt;&gt;"",$E28&lt;&gt;"",N$5&gt;=$D28,N$5&lt;=$E28),IF($F28&gt;=1,3,IF($G28="Blocked",2,IF($G28="Conditional",4,1))),"")</f>
        <v/>
      </c>
      <c r="O28" s="17" t="str">
        <f aca="false">IF(AND($D28&lt;&gt;"",$E28&lt;&gt;"",O$5&gt;=$D28,O$5&lt;=$E28),IF($F28&gt;=1,3,IF($G28="Blocked",2,IF($G28="Conditional",4,1))),"")</f>
        <v/>
      </c>
      <c r="P28" s="17" t="str">
        <f aca="false">IF(AND($D28&lt;&gt;"",$E28&lt;&gt;"",P$5&gt;=$D28,P$5&lt;=$E28),IF($F28&gt;=1,3,IF($G28="Blocked",2,IF($G28="Conditional",4,1))),"")</f>
        <v/>
      </c>
      <c r="Q28" s="17" t="str">
        <f aca="false">IF(AND($D28&lt;&gt;"",$E28&lt;&gt;"",Q$5&gt;=$D28,Q$5&lt;=$E28),IF($F28&gt;=1,3,IF($G28="Blocked",2,IF($G28="Conditional",4,1))),"")</f>
        <v/>
      </c>
      <c r="R28" s="17" t="str">
        <f aca="false">IF(AND($D28&lt;&gt;"",$E28&lt;&gt;"",R$5&gt;=$D28,R$5&lt;=$E28),IF($F28&gt;=1,3,IF($G28="Blocked",2,IF($G28="Conditional",4,1))),"")</f>
        <v/>
      </c>
      <c r="S28" s="17" t="str">
        <f aca="false">IF(AND($D28&lt;&gt;"",$E28&lt;&gt;"",S$5&gt;=$D28,S$5&lt;=$E28),IF($F28&gt;=1,3,IF($G28="Blocked",2,IF($G28="Conditional",4,1))),"")</f>
        <v/>
      </c>
      <c r="T28" s="17" t="n">
        <f aca="false">IF(AND($D28&lt;&gt;"",$E28&lt;&gt;"",T$5&gt;=$D28,T$5&lt;=$E28),IF($F28&gt;=1,3,IF($G28="Blocked",2,IF($G28="Conditional",4,1))),"")</f>
        <v>4</v>
      </c>
      <c r="U28" s="17" t="n">
        <f aca="false">IF(AND($D28&lt;&gt;"",$E28&lt;&gt;"",U$5&gt;=$D28,U$5&lt;=$E28),IF($F28&gt;=1,3,IF($G28="Blocked",2,IF($G28="Conditional",4,1))),"")</f>
        <v>4</v>
      </c>
      <c r="V28" s="17" t="n">
        <f aca="false">IF(AND($D28&lt;&gt;"",$E28&lt;&gt;"",V$5&gt;=$D28,V$5&lt;=$E28),IF($F28&gt;=1,3,IF($G28="Blocked",2,IF($G28="Conditional",4,1))),"")</f>
        <v>4</v>
      </c>
      <c r="W28" s="17" t="n">
        <f aca="false">IF(AND($D28&lt;&gt;"",$E28&lt;&gt;"",W$5&gt;=$D28,W$5&lt;=$E28),IF($F28&gt;=1,3,IF($G28="Blocked",2,IF($G28="Conditional",4,1))),"")</f>
        <v>4</v>
      </c>
      <c r="X28" s="17" t="n">
        <f aca="false">IF(AND($D28&lt;&gt;"",$E28&lt;&gt;"",X$5&gt;=$D28,X$5&lt;=$E28),IF($F28&gt;=1,3,IF($G28="Blocked",2,IF($G28="Conditional",4,1))),"")</f>
        <v>4</v>
      </c>
      <c r="Y28" s="17" t="str">
        <f aca="false">IF(AND($D28&lt;&gt;"",$E28&lt;&gt;"",Y$5&gt;=$D28,Y$5&lt;=$E28),IF($F28&gt;=1,3,IF($G28="Blocked",2,IF($G28="Conditional",4,1))),"")</f>
        <v/>
      </c>
      <c r="Z28" s="17" t="str">
        <f aca="false">IF(AND($D28&lt;&gt;"",$E28&lt;&gt;"",Z$5&gt;=$D28,Z$5&lt;=$E28),IF($F28&gt;=1,3,IF($G28="Blocked",2,IF($G28="Conditional",4,1))),"")</f>
        <v/>
      </c>
      <c r="AA28" s="17" t="str">
        <f aca="false">IF(AND($D28&lt;&gt;"",$E28&lt;&gt;"",AA$5&gt;=$D28,AA$5&lt;=$E28),IF($F28&gt;=1,3,IF($G28="Blocked",2,IF($G28="Conditional",4,1))),"")</f>
        <v/>
      </c>
      <c r="AB28" s="17" t="str">
        <f aca="false">IF(AND($D28&lt;&gt;"",$E28&lt;&gt;"",AB$5&gt;=$D28,AB$5&lt;=$E28),IF($F28&gt;=1,3,IF($G28="Blocked",2,IF($G28="Conditional",4,1))),"")</f>
        <v/>
      </c>
    </row>
    <row r="29" customFormat="false" ht="21.75" hidden="false" customHeight="true" outlineLevel="0" collapsed="false">
      <c r="A29" s="9" t="s">
        <v>82</v>
      </c>
      <c r="B29" s="10" t="s">
        <v>83</v>
      </c>
      <c r="C29" s="11"/>
      <c r="D29" s="11"/>
      <c r="E29" s="11"/>
      <c r="F29" s="11"/>
      <c r="G29" s="11"/>
      <c r="H29" s="11"/>
      <c r="I29" s="11"/>
      <c r="J29" s="12"/>
      <c r="K29" s="11"/>
      <c r="L29" s="11"/>
      <c r="M29" s="11"/>
      <c r="N29" s="11"/>
      <c r="O29" s="11"/>
      <c r="P29" s="11"/>
      <c r="Q29" s="11"/>
      <c r="R29" s="11"/>
      <c r="S29" s="11"/>
      <c r="T29" s="11"/>
      <c r="U29" s="11"/>
      <c r="V29" s="11"/>
      <c r="W29" s="11"/>
      <c r="X29" s="11"/>
      <c r="Y29" s="11"/>
      <c r="Z29" s="11"/>
      <c r="AA29" s="11"/>
      <c r="AB29" s="11"/>
    </row>
    <row r="30" customFormat="false" ht="21.75" hidden="false" customHeight="true" outlineLevel="0" collapsed="false">
      <c r="A30" s="13" t="s">
        <v>84</v>
      </c>
      <c r="B30" s="14" t="s">
        <v>85</v>
      </c>
      <c r="C30" s="15" t="s">
        <v>34</v>
      </c>
      <c r="D30" s="15" t="n">
        <v>5</v>
      </c>
      <c r="E30" s="15" t="n">
        <v>6</v>
      </c>
      <c r="F30" s="16" t="n">
        <v>0.8</v>
      </c>
      <c r="G30" s="15" t="s">
        <v>44</v>
      </c>
      <c r="H30" s="17" t="str">
        <f aca="false">IF(AND($D30&lt;&gt;"",$E30&lt;&gt;"",H$5&gt;=$D30,H$5&lt;=$E30),IF($F30&gt;=1,3,IF($G30="Blocked",2,IF($G30="Conditional",4,1))),"")</f>
        <v/>
      </c>
      <c r="I30" s="17" t="str">
        <f aca="false">IF(AND($D30&lt;&gt;"",$E30&lt;&gt;"",I$5&gt;=$D30,I$5&lt;=$E30),IF($F30&gt;=1,3,IF($G30="Blocked",2,IF($G30="Conditional",4,1))),"")</f>
        <v/>
      </c>
      <c r="J30" s="18" t="str">
        <f aca="false">IF(AND($D30&lt;&gt;"",$E30&lt;&gt;"",J$5&gt;=$D30,J$5&lt;=$E30),IF($F30&gt;=1,3,IF($G30="Blocked",2,IF($G30="Conditional",4,1))),"")</f>
        <v/>
      </c>
      <c r="K30" s="17" t="str">
        <f aca="false">IF(AND($D30&lt;&gt;"",$E30&lt;&gt;"",K$5&gt;=$D30,K$5&lt;=$E30),IF($F30&gt;=1,3,IF($G30="Blocked",2,IF($G30="Conditional",4,1))),"")</f>
        <v/>
      </c>
      <c r="L30" s="17" t="n">
        <f aca="false">IF(AND($D30&lt;&gt;"",$E30&lt;&gt;"",L$5&gt;=$D30,L$5&lt;=$E30),IF($F30&gt;=1,3,IF($G30="Blocked",2,IF($G30="Conditional",4,1))),"")</f>
        <v>1</v>
      </c>
      <c r="M30" s="17" t="n">
        <f aca="false">IF(AND($D30&lt;&gt;"",$E30&lt;&gt;"",M$5&gt;=$D30,M$5&lt;=$E30),IF($F30&gt;=1,3,IF($G30="Blocked",2,IF($G30="Conditional",4,1))),"")</f>
        <v>1</v>
      </c>
      <c r="N30" s="17" t="str">
        <f aca="false">IF(AND($D30&lt;&gt;"",$E30&lt;&gt;"",N$5&gt;=$D30,N$5&lt;=$E30),IF($F30&gt;=1,3,IF($G30="Blocked",2,IF($G30="Conditional",4,1))),"")</f>
        <v/>
      </c>
      <c r="O30" s="17" t="str">
        <f aca="false">IF(AND($D30&lt;&gt;"",$E30&lt;&gt;"",O$5&gt;=$D30,O$5&lt;=$E30),IF($F30&gt;=1,3,IF($G30="Blocked",2,IF($G30="Conditional",4,1))),"")</f>
        <v/>
      </c>
      <c r="P30" s="17" t="str">
        <f aca="false">IF(AND($D30&lt;&gt;"",$E30&lt;&gt;"",P$5&gt;=$D30,P$5&lt;=$E30),IF($F30&gt;=1,3,IF($G30="Blocked",2,IF($G30="Conditional",4,1))),"")</f>
        <v/>
      </c>
      <c r="Q30" s="17" t="str">
        <f aca="false">IF(AND($D30&lt;&gt;"",$E30&lt;&gt;"",Q$5&gt;=$D30,Q$5&lt;=$E30),IF($F30&gt;=1,3,IF($G30="Blocked",2,IF($G30="Conditional",4,1))),"")</f>
        <v/>
      </c>
      <c r="R30" s="17" t="str">
        <f aca="false">IF(AND($D30&lt;&gt;"",$E30&lt;&gt;"",R$5&gt;=$D30,R$5&lt;=$E30),IF($F30&gt;=1,3,IF($G30="Blocked",2,IF($G30="Conditional",4,1))),"")</f>
        <v/>
      </c>
      <c r="S30" s="17" t="str">
        <f aca="false">IF(AND($D30&lt;&gt;"",$E30&lt;&gt;"",S$5&gt;=$D30,S$5&lt;=$E30),IF($F30&gt;=1,3,IF($G30="Blocked",2,IF($G30="Conditional",4,1))),"")</f>
        <v/>
      </c>
      <c r="T30" s="17" t="str">
        <f aca="false">IF(AND($D30&lt;&gt;"",$E30&lt;&gt;"",T$5&gt;=$D30,T$5&lt;=$E30),IF($F30&gt;=1,3,IF($G30="Blocked",2,IF($G30="Conditional",4,1))),"")</f>
        <v/>
      </c>
      <c r="U30" s="17" t="str">
        <f aca="false">IF(AND($D30&lt;&gt;"",$E30&lt;&gt;"",U$5&gt;=$D30,U$5&lt;=$E30),IF($F30&gt;=1,3,IF($G30="Blocked",2,IF($G30="Conditional",4,1))),"")</f>
        <v/>
      </c>
      <c r="V30" s="17" t="str">
        <f aca="false">IF(AND($D30&lt;&gt;"",$E30&lt;&gt;"",V$5&gt;=$D30,V$5&lt;=$E30),IF($F30&gt;=1,3,IF($G30="Blocked",2,IF($G30="Conditional",4,1))),"")</f>
        <v/>
      </c>
      <c r="W30" s="17" t="str">
        <f aca="false">IF(AND($D30&lt;&gt;"",$E30&lt;&gt;"",W$5&gt;=$D30,W$5&lt;=$E30),IF($F30&gt;=1,3,IF($G30="Blocked",2,IF($G30="Conditional",4,1))),"")</f>
        <v/>
      </c>
      <c r="X30" s="17" t="str">
        <f aca="false">IF(AND($D30&lt;&gt;"",$E30&lt;&gt;"",X$5&gt;=$D30,X$5&lt;=$E30),IF($F30&gt;=1,3,IF($G30="Blocked",2,IF($G30="Conditional",4,1))),"")</f>
        <v/>
      </c>
      <c r="Y30" s="17" t="str">
        <f aca="false">IF(AND($D30&lt;&gt;"",$E30&lt;&gt;"",Y$5&gt;=$D30,Y$5&lt;=$E30),IF($F30&gt;=1,3,IF($G30="Blocked",2,IF($G30="Conditional",4,1))),"")</f>
        <v/>
      </c>
      <c r="Z30" s="17" t="str">
        <f aca="false">IF(AND($D30&lt;&gt;"",$E30&lt;&gt;"",Z$5&gt;=$D30,Z$5&lt;=$E30),IF($F30&gt;=1,3,IF($G30="Blocked",2,IF($G30="Conditional",4,1))),"")</f>
        <v/>
      </c>
      <c r="AA30" s="17" t="str">
        <f aca="false">IF(AND($D30&lt;&gt;"",$E30&lt;&gt;"",AA$5&gt;=$D30,AA$5&lt;=$E30),IF($F30&gt;=1,3,IF($G30="Blocked",2,IF($G30="Conditional",4,1))),"")</f>
        <v/>
      </c>
      <c r="AB30" s="17" t="str">
        <f aca="false">IF(AND($D30&lt;&gt;"",$E30&lt;&gt;"",AB$5&gt;=$D30,AB$5&lt;=$E30),IF($F30&gt;=1,3,IF($G30="Blocked",2,IF($G30="Conditional",4,1))),"")</f>
        <v/>
      </c>
    </row>
    <row r="31" customFormat="false" ht="21.75" hidden="false" customHeight="true" outlineLevel="0" collapsed="false">
      <c r="A31" s="13" t="s">
        <v>86</v>
      </c>
      <c r="B31" s="14" t="s">
        <v>87</v>
      </c>
      <c r="C31" s="15" t="s">
        <v>34</v>
      </c>
      <c r="D31" s="15" t="n">
        <v>9</v>
      </c>
      <c r="E31" s="15" t="n">
        <v>10</v>
      </c>
      <c r="F31" s="16" t="n">
        <v>0</v>
      </c>
      <c r="G31" s="15" t="s">
        <v>52</v>
      </c>
      <c r="H31" s="17" t="str">
        <f aca="false">IF(AND($D31&lt;&gt;"",$E31&lt;&gt;"",H$5&gt;=$D31,H$5&lt;=$E31),IF($F31&gt;=1,3,IF($G31="Blocked",2,IF($G31="Conditional",4,1))),"")</f>
        <v/>
      </c>
      <c r="I31" s="17" t="str">
        <f aca="false">IF(AND($D31&lt;&gt;"",$E31&lt;&gt;"",I$5&gt;=$D31,I$5&lt;=$E31),IF($F31&gt;=1,3,IF($G31="Blocked",2,IF($G31="Conditional",4,1))),"")</f>
        <v/>
      </c>
      <c r="J31" s="18" t="str">
        <f aca="false">IF(AND($D31&lt;&gt;"",$E31&lt;&gt;"",J$5&gt;=$D31,J$5&lt;=$E31),IF($F31&gt;=1,3,IF($G31="Blocked",2,IF($G31="Conditional",4,1))),"")</f>
        <v/>
      </c>
      <c r="K31" s="17" t="str">
        <f aca="false">IF(AND($D31&lt;&gt;"",$E31&lt;&gt;"",K$5&gt;=$D31,K$5&lt;=$E31),IF($F31&gt;=1,3,IF($G31="Blocked",2,IF($G31="Conditional",4,1))),"")</f>
        <v/>
      </c>
      <c r="L31" s="17" t="str">
        <f aca="false">IF(AND($D31&lt;&gt;"",$E31&lt;&gt;"",L$5&gt;=$D31,L$5&lt;=$E31),IF($F31&gt;=1,3,IF($G31="Blocked",2,IF($G31="Conditional",4,1))),"")</f>
        <v/>
      </c>
      <c r="M31" s="17" t="str">
        <f aca="false">IF(AND($D31&lt;&gt;"",$E31&lt;&gt;"",M$5&gt;=$D31,M$5&lt;=$E31),IF($F31&gt;=1,3,IF($G31="Blocked",2,IF($G31="Conditional",4,1))),"")</f>
        <v/>
      </c>
      <c r="N31" s="17" t="str">
        <f aca="false">IF(AND($D31&lt;&gt;"",$E31&lt;&gt;"",N$5&gt;=$D31,N$5&lt;=$E31),IF($F31&gt;=1,3,IF($G31="Blocked",2,IF($G31="Conditional",4,1))),"")</f>
        <v/>
      </c>
      <c r="O31" s="17" t="str">
        <f aca="false">IF(AND($D31&lt;&gt;"",$E31&lt;&gt;"",O$5&gt;=$D31,O$5&lt;=$E31),IF($F31&gt;=1,3,IF($G31="Blocked",2,IF($G31="Conditional",4,1))),"")</f>
        <v/>
      </c>
      <c r="P31" s="17" t="n">
        <f aca="false">IF(AND($D31&lt;&gt;"",$E31&lt;&gt;"",P$5&gt;=$D31,P$5&lt;=$E31),IF($F31&gt;=1,3,IF($G31="Blocked",2,IF($G31="Conditional",4,1))),"")</f>
        <v>1</v>
      </c>
      <c r="Q31" s="17" t="n">
        <f aca="false">IF(AND($D31&lt;&gt;"",$E31&lt;&gt;"",Q$5&gt;=$D31,Q$5&lt;=$E31),IF($F31&gt;=1,3,IF($G31="Blocked",2,IF($G31="Conditional",4,1))),"")</f>
        <v>1</v>
      </c>
      <c r="R31" s="17" t="str">
        <f aca="false">IF(AND($D31&lt;&gt;"",$E31&lt;&gt;"",R$5&gt;=$D31,R$5&lt;=$E31),IF($F31&gt;=1,3,IF($G31="Blocked",2,IF($G31="Conditional",4,1))),"")</f>
        <v/>
      </c>
      <c r="S31" s="17" t="str">
        <f aca="false">IF(AND($D31&lt;&gt;"",$E31&lt;&gt;"",S$5&gt;=$D31,S$5&lt;=$E31),IF($F31&gt;=1,3,IF($G31="Blocked",2,IF($G31="Conditional",4,1))),"")</f>
        <v/>
      </c>
      <c r="T31" s="17" t="str">
        <f aca="false">IF(AND($D31&lt;&gt;"",$E31&lt;&gt;"",T$5&gt;=$D31,T$5&lt;=$E31),IF($F31&gt;=1,3,IF($G31="Blocked",2,IF($G31="Conditional",4,1))),"")</f>
        <v/>
      </c>
      <c r="U31" s="17" t="str">
        <f aca="false">IF(AND($D31&lt;&gt;"",$E31&lt;&gt;"",U$5&gt;=$D31,U$5&lt;=$E31),IF($F31&gt;=1,3,IF($G31="Blocked",2,IF($G31="Conditional",4,1))),"")</f>
        <v/>
      </c>
      <c r="V31" s="17" t="str">
        <f aca="false">IF(AND($D31&lt;&gt;"",$E31&lt;&gt;"",V$5&gt;=$D31,V$5&lt;=$E31),IF($F31&gt;=1,3,IF($G31="Blocked",2,IF($G31="Conditional",4,1))),"")</f>
        <v/>
      </c>
      <c r="W31" s="17" t="str">
        <f aca="false">IF(AND($D31&lt;&gt;"",$E31&lt;&gt;"",W$5&gt;=$D31,W$5&lt;=$E31),IF($F31&gt;=1,3,IF($G31="Blocked",2,IF($G31="Conditional",4,1))),"")</f>
        <v/>
      </c>
      <c r="X31" s="17" t="str">
        <f aca="false">IF(AND($D31&lt;&gt;"",$E31&lt;&gt;"",X$5&gt;=$D31,X$5&lt;=$E31),IF($F31&gt;=1,3,IF($G31="Blocked",2,IF($G31="Conditional",4,1))),"")</f>
        <v/>
      </c>
      <c r="Y31" s="17" t="str">
        <f aca="false">IF(AND($D31&lt;&gt;"",$E31&lt;&gt;"",Y$5&gt;=$D31,Y$5&lt;=$E31),IF($F31&gt;=1,3,IF($G31="Blocked",2,IF($G31="Conditional",4,1))),"")</f>
        <v/>
      </c>
      <c r="Z31" s="17" t="str">
        <f aca="false">IF(AND($D31&lt;&gt;"",$E31&lt;&gt;"",Z$5&gt;=$D31,Z$5&lt;=$E31),IF($F31&gt;=1,3,IF($G31="Blocked",2,IF($G31="Conditional",4,1))),"")</f>
        <v/>
      </c>
      <c r="AA31" s="17" t="str">
        <f aca="false">IF(AND($D31&lt;&gt;"",$E31&lt;&gt;"",AA$5&gt;=$D31,AA$5&lt;=$E31),IF($F31&gt;=1,3,IF($G31="Blocked",2,IF($G31="Conditional",4,1))),"")</f>
        <v/>
      </c>
      <c r="AB31" s="17" t="str">
        <f aca="false">IF(AND($D31&lt;&gt;"",$E31&lt;&gt;"",AB$5&gt;=$D31,AB$5&lt;=$E31),IF($F31&gt;=1,3,IF($G31="Blocked",2,IF($G31="Conditional",4,1))),"")</f>
        <v/>
      </c>
    </row>
    <row r="32" customFormat="false" ht="21.75" hidden="false" customHeight="true" outlineLevel="0" collapsed="false">
      <c r="A32" s="13" t="s">
        <v>88</v>
      </c>
      <c r="B32" s="14" t="s">
        <v>89</v>
      </c>
      <c r="C32" s="15" t="s">
        <v>34</v>
      </c>
      <c r="D32" s="15" t="n">
        <v>9</v>
      </c>
      <c r="E32" s="15" t="n">
        <v>10</v>
      </c>
      <c r="F32" s="16" t="n">
        <v>0</v>
      </c>
      <c r="G32" s="15" t="s">
        <v>52</v>
      </c>
      <c r="H32" s="17" t="str">
        <f aca="false">IF(AND($D32&lt;&gt;"",$E32&lt;&gt;"",H$5&gt;=$D32,H$5&lt;=$E32),IF($F32&gt;=1,3,IF($G32="Blocked",2,IF($G32="Conditional",4,1))),"")</f>
        <v/>
      </c>
      <c r="I32" s="17" t="str">
        <f aca="false">IF(AND($D32&lt;&gt;"",$E32&lt;&gt;"",I$5&gt;=$D32,I$5&lt;=$E32),IF($F32&gt;=1,3,IF($G32="Blocked",2,IF($G32="Conditional",4,1))),"")</f>
        <v/>
      </c>
      <c r="J32" s="18" t="str">
        <f aca="false">IF(AND($D32&lt;&gt;"",$E32&lt;&gt;"",J$5&gt;=$D32,J$5&lt;=$E32),IF($F32&gt;=1,3,IF($G32="Blocked",2,IF($G32="Conditional",4,1))),"")</f>
        <v/>
      </c>
      <c r="K32" s="17" t="str">
        <f aca="false">IF(AND($D32&lt;&gt;"",$E32&lt;&gt;"",K$5&gt;=$D32,K$5&lt;=$E32),IF($F32&gt;=1,3,IF($G32="Blocked",2,IF($G32="Conditional",4,1))),"")</f>
        <v/>
      </c>
      <c r="L32" s="17" t="str">
        <f aca="false">IF(AND($D32&lt;&gt;"",$E32&lt;&gt;"",L$5&gt;=$D32,L$5&lt;=$E32),IF($F32&gt;=1,3,IF($G32="Blocked",2,IF($G32="Conditional",4,1))),"")</f>
        <v/>
      </c>
      <c r="M32" s="17" t="str">
        <f aca="false">IF(AND($D32&lt;&gt;"",$E32&lt;&gt;"",M$5&gt;=$D32,M$5&lt;=$E32),IF($F32&gt;=1,3,IF($G32="Blocked",2,IF($G32="Conditional",4,1))),"")</f>
        <v/>
      </c>
      <c r="N32" s="17" t="str">
        <f aca="false">IF(AND($D32&lt;&gt;"",$E32&lt;&gt;"",N$5&gt;=$D32,N$5&lt;=$E32),IF($F32&gt;=1,3,IF($G32="Blocked",2,IF($G32="Conditional",4,1))),"")</f>
        <v/>
      </c>
      <c r="O32" s="17" t="str">
        <f aca="false">IF(AND($D32&lt;&gt;"",$E32&lt;&gt;"",O$5&gt;=$D32,O$5&lt;=$E32),IF($F32&gt;=1,3,IF($G32="Blocked",2,IF($G32="Conditional",4,1))),"")</f>
        <v/>
      </c>
      <c r="P32" s="17" t="n">
        <f aca="false">IF(AND($D32&lt;&gt;"",$E32&lt;&gt;"",P$5&gt;=$D32,P$5&lt;=$E32),IF($F32&gt;=1,3,IF($G32="Blocked",2,IF($G32="Conditional",4,1))),"")</f>
        <v>1</v>
      </c>
      <c r="Q32" s="17" t="n">
        <f aca="false">IF(AND($D32&lt;&gt;"",$E32&lt;&gt;"",Q$5&gt;=$D32,Q$5&lt;=$E32),IF($F32&gt;=1,3,IF($G32="Blocked",2,IF($G32="Conditional",4,1))),"")</f>
        <v>1</v>
      </c>
      <c r="R32" s="17" t="str">
        <f aca="false">IF(AND($D32&lt;&gt;"",$E32&lt;&gt;"",R$5&gt;=$D32,R$5&lt;=$E32),IF($F32&gt;=1,3,IF($G32="Blocked",2,IF($G32="Conditional",4,1))),"")</f>
        <v/>
      </c>
      <c r="S32" s="17" t="str">
        <f aca="false">IF(AND($D32&lt;&gt;"",$E32&lt;&gt;"",S$5&gt;=$D32,S$5&lt;=$E32),IF($F32&gt;=1,3,IF($G32="Blocked",2,IF($G32="Conditional",4,1))),"")</f>
        <v/>
      </c>
      <c r="T32" s="17" t="str">
        <f aca="false">IF(AND($D32&lt;&gt;"",$E32&lt;&gt;"",T$5&gt;=$D32,T$5&lt;=$E32),IF($F32&gt;=1,3,IF($G32="Blocked",2,IF($G32="Conditional",4,1))),"")</f>
        <v/>
      </c>
      <c r="U32" s="17" t="str">
        <f aca="false">IF(AND($D32&lt;&gt;"",$E32&lt;&gt;"",U$5&gt;=$D32,U$5&lt;=$E32),IF($F32&gt;=1,3,IF($G32="Blocked",2,IF($G32="Conditional",4,1))),"")</f>
        <v/>
      </c>
      <c r="V32" s="17" t="str">
        <f aca="false">IF(AND($D32&lt;&gt;"",$E32&lt;&gt;"",V$5&gt;=$D32,V$5&lt;=$E32),IF($F32&gt;=1,3,IF($G32="Blocked",2,IF($G32="Conditional",4,1))),"")</f>
        <v/>
      </c>
      <c r="W32" s="17" t="str">
        <f aca="false">IF(AND($D32&lt;&gt;"",$E32&lt;&gt;"",W$5&gt;=$D32,W$5&lt;=$E32),IF($F32&gt;=1,3,IF($G32="Blocked",2,IF($G32="Conditional",4,1))),"")</f>
        <v/>
      </c>
      <c r="X32" s="17" t="str">
        <f aca="false">IF(AND($D32&lt;&gt;"",$E32&lt;&gt;"",X$5&gt;=$D32,X$5&lt;=$E32),IF($F32&gt;=1,3,IF($G32="Blocked",2,IF($G32="Conditional",4,1))),"")</f>
        <v/>
      </c>
      <c r="Y32" s="17" t="str">
        <f aca="false">IF(AND($D32&lt;&gt;"",$E32&lt;&gt;"",Y$5&gt;=$D32,Y$5&lt;=$E32),IF($F32&gt;=1,3,IF($G32="Blocked",2,IF($G32="Conditional",4,1))),"")</f>
        <v/>
      </c>
      <c r="Z32" s="17" t="str">
        <f aca="false">IF(AND($D32&lt;&gt;"",$E32&lt;&gt;"",Z$5&gt;=$D32,Z$5&lt;=$E32),IF($F32&gt;=1,3,IF($G32="Blocked",2,IF($G32="Conditional",4,1))),"")</f>
        <v/>
      </c>
      <c r="AA32" s="17" t="str">
        <f aca="false">IF(AND($D32&lt;&gt;"",$E32&lt;&gt;"",AA$5&gt;=$D32,AA$5&lt;=$E32),IF($F32&gt;=1,3,IF($G32="Blocked",2,IF($G32="Conditional",4,1))),"")</f>
        <v/>
      </c>
      <c r="AB32" s="17" t="str">
        <f aca="false">IF(AND($D32&lt;&gt;"",$E32&lt;&gt;"",AB$5&gt;=$D32,AB$5&lt;=$E32),IF($F32&gt;=1,3,IF($G32="Blocked",2,IF($G32="Conditional",4,1))),"")</f>
        <v/>
      </c>
    </row>
    <row r="33" customFormat="false" ht="21.75" hidden="false" customHeight="true" outlineLevel="0" collapsed="false">
      <c r="A33" s="13" t="s">
        <v>90</v>
      </c>
      <c r="B33" s="14" t="s">
        <v>91</v>
      </c>
      <c r="C33" s="15" t="s">
        <v>34</v>
      </c>
      <c r="D33" s="15" t="n">
        <v>7</v>
      </c>
      <c r="E33" s="15" t="n">
        <v>9</v>
      </c>
      <c r="F33" s="16" t="n">
        <v>0</v>
      </c>
      <c r="G33" s="15" t="s">
        <v>52</v>
      </c>
      <c r="H33" s="17" t="str">
        <f aca="false">IF(AND($D33&lt;&gt;"",$E33&lt;&gt;"",H$5&gt;=$D33,H$5&lt;=$E33),IF($F33&gt;=1,3,IF($G33="Blocked",2,IF($G33="Conditional",4,1))),"")</f>
        <v/>
      </c>
      <c r="I33" s="17" t="str">
        <f aca="false">IF(AND($D33&lt;&gt;"",$E33&lt;&gt;"",I$5&gt;=$D33,I$5&lt;=$E33),IF($F33&gt;=1,3,IF($G33="Blocked",2,IF($G33="Conditional",4,1))),"")</f>
        <v/>
      </c>
      <c r="J33" s="18" t="str">
        <f aca="false">IF(AND($D33&lt;&gt;"",$E33&lt;&gt;"",J$5&gt;=$D33,J$5&lt;=$E33),IF($F33&gt;=1,3,IF($G33="Blocked",2,IF($G33="Conditional",4,1))),"")</f>
        <v/>
      </c>
      <c r="K33" s="17" t="str">
        <f aca="false">IF(AND($D33&lt;&gt;"",$E33&lt;&gt;"",K$5&gt;=$D33,K$5&lt;=$E33),IF($F33&gt;=1,3,IF($G33="Blocked",2,IF($G33="Conditional",4,1))),"")</f>
        <v/>
      </c>
      <c r="L33" s="17" t="str">
        <f aca="false">IF(AND($D33&lt;&gt;"",$E33&lt;&gt;"",L$5&gt;=$D33,L$5&lt;=$E33),IF($F33&gt;=1,3,IF($G33="Blocked",2,IF($G33="Conditional",4,1))),"")</f>
        <v/>
      </c>
      <c r="M33" s="17" t="str">
        <f aca="false">IF(AND($D33&lt;&gt;"",$E33&lt;&gt;"",M$5&gt;=$D33,M$5&lt;=$E33),IF($F33&gt;=1,3,IF($G33="Blocked",2,IF($G33="Conditional",4,1))),"")</f>
        <v/>
      </c>
      <c r="N33" s="17" t="n">
        <f aca="false">IF(AND($D33&lt;&gt;"",$E33&lt;&gt;"",N$5&gt;=$D33,N$5&lt;=$E33),IF($F33&gt;=1,3,IF($G33="Blocked",2,IF($G33="Conditional",4,1))),"")</f>
        <v>1</v>
      </c>
      <c r="O33" s="17" t="n">
        <f aca="false">IF(AND($D33&lt;&gt;"",$E33&lt;&gt;"",O$5&gt;=$D33,O$5&lt;=$E33),IF($F33&gt;=1,3,IF($G33="Blocked",2,IF($G33="Conditional",4,1))),"")</f>
        <v>1</v>
      </c>
      <c r="P33" s="17" t="n">
        <f aca="false">IF(AND($D33&lt;&gt;"",$E33&lt;&gt;"",P$5&gt;=$D33,P$5&lt;=$E33),IF($F33&gt;=1,3,IF($G33="Blocked",2,IF($G33="Conditional",4,1))),"")</f>
        <v>1</v>
      </c>
      <c r="Q33" s="17" t="str">
        <f aca="false">IF(AND($D33&lt;&gt;"",$E33&lt;&gt;"",Q$5&gt;=$D33,Q$5&lt;=$E33),IF($F33&gt;=1,3,IF($G33="Blocked",2,IF($G33="Conditional",4,1))),"")</f>
        <v/>
      </c>
      <c r="R33" s="17" t="str">
        <f aca="false">IF(AND($D33&lt;&gt;"",$E33&lt;&gt;"",R$5&gt;=$D33,R$5&lt;=$E33),IF($F33&gt;=1,3,IF($G33="Blocked",2,IF($G33="Conditional",4,1))),"")</f>
        <v/>
      </c>
      <c r="S33" s="17" t="str">
        <f aca="false">IF(AND($D33&lt;&gt;"",$E33&lt;&gt;"",S$5&gt;=$D33,S$5&lt;=$E33),IF($F33&gt;=1,3,IF($G33="Blocked",2,IF($G33="Conditional",4,1))),"")</f>
        <v/>
      </c>
      <c r="T33" s="17" t="str">
        <f aca="false">IF(AND($D33&lt;&gt;"",$E33&lt;&gt;"",T$5&gt;=$D33,T$5&lt;=$E33),IF($F33&gt;=1,3,IF($G33="Blocked",2,IF($G33="Conditional",4,1))),"")</f>
        <v/>
      </c>
      <c r="U33" s="17" t="str">
        <f aca="false">IF(AND($D33&lt;&gt;"",$E33&lt;&gt;"",U$5&gt;=$D33,U$5&lt;=$E33),IF($F33&gt;=1,3,IF($G33="Blocked",2,IF($G33="Conditional",4,1))),"")</f>
        <v/>
      </c>
      <c r="V33" s="17" t="str">
        <f aca="false">IF(AND($D33&lt;&gt;"",$E33&lt;&gt;"",V$5&gt;=$D33,V$5&lt;=$E33),IF($F33&gt;=1,3,IF($G33="Blocked",2,IF($G33="Conditional",4,1))),"")</f>
        <v/>
      </c>
      <c r="W33" s="17" t="str">
        <f aca="false">IF(AND($D33&lt;&gt;"",$E33&lt;&gt;"",W$5&gt;=$D33,W$5&lt;=$E33),IF($F33&gt;=1,3,IF($G33="Blocked",2,IF($G33="Conditional",4,1))),"")</f>
        <v/>
      </c>
      <c r="X33" s="17" t="str">
        <f aca="false">IF(AND($D33&lt;&gt;"",$E33&lt;&gt;"",X$5&gt;=$D33,X$5&lt;=$E33),IF($F33&gt;=1,3,IF($G33="Blocked",2,IF($G33="Conditional",4,1))),"")</f>
        <v/>
      </c>
      <c r="Y33" s="17" t="str">
        <f aca="false">IF(AND($D33&lt;&gt;"",$E33&lt;&gt;"",Y$5&gt;=$D33,Y$5&lt;=$E33),IF($F33&gt;=1,3,IF($G33="Blocked",2,IF($G33="Conditional",4,1))),"")</f>
        <v/>
      </c>
      <c r="Z33" s="17" t="str">
        <f aca="false">IF(AND($D33&lt;&gt;"",$E33&lt;&gt;"",Z$5&gt;=$D33,Z$5&lt;=$E33),IF($F33&gt;=1,3,IF($G33="Blocked",2,IF($G33="Conditional",4,1))),"")</f>
        <v/>
      </c>
      <c r="AA33" s="17" t="str">
        <f aca="false">IF(AND($D33&lt;&gt;"",$E33&lt;&gt;"",AA$5&gt;=$D33,AA$5&lt;=$E33),IF($F33&gt;=1,3,IF($G33="Blocked",2,IF($G33="Conditional",4,1))),"")</f>
        <v/>
      </c>
      <c r="AB33" s="17" t="str">
        <f aca="false">IF(AND($D33&lt;&gt;"",$E33&lt;&gt;"",AB$5&gt;=$D33,AB$5&lt;=$E33),IF($F33&gt;=1,3,IF($G33="Blocked",2,IF($G33="Conditional",4,1))),"")</f>
        <v/>
      </c>
    </row>
    <row r="34" customFormat="false" ht="21.75" hidden="false" customHeight="true" outlineLevel="0" collapsed="false">
      <c r="A34" s="13" t="s">
        <v>92</v>
      </c>
      <c r="B34" s="14" t="s">
        <v>93</v>
      </c>
      <c r="C34" s="15" t="s">
        <v>34</v>
      </c>
      <c r="D34" s="15" t="n">
        <v>12</v>
      </c>
      <c r="E34" s="15" t="n">
        <v>13</v>
      </c>
      <c r="F34" s="16" t="n">
        <v>0</v>
      </c>
      <c r="G34" s="15" t="s">
        <v>49</v>
      </c>
      <c r="H34" s="17" t="str">
        <f aca="false">IF(AND($D34&lt;&gt;"",$E34&lt;&gt;"",H$5&gt;=$D34,H$5&lt;=$E34),IF($F34&gt;=1,3,IF($G34="Blocked",2,IF($G34="Conditional",4,1))),"")</f>
        <v/>
      </c>
      <c r="I34" s="17" t="str">
        <f aca="false">IF(AND($D34&lt;&gt;"",$E34&lt;&gt;"",I$5&gt;=$D34,I$5&lt;=$E34),IF($F34&gt;=1,3,IF($G34="Blocked",2,IF($G34="Conditional",4,1))),"")</f>
        <v/>
      </c>
      <c r="J34" s="18" t="str">
        <f aca="false">IF(AND($D34&lt;&gt;"",$E34&lt;&gt;"",J$5&gt;=$D34,J$5&lt;=$E34),IF($F34&gt;=1,3,IF($G34="Blocked",2,IF($G34="Conditional",4,1))),"")</f>
        <v/>
      </c>
      <c r="K34" s="17" t="str">
        <f aca="false">IF(AND($D34&lt;&gt;"",$E34&lt;&gt;"",K$5&gt;=$D34,K$5&lt;=$E34),IF($F34&gt;=1,3,IF($G34="Blocked",2,IF($G34="Conditional",4,1))),"")</f>
        <v/>
      </c>
      <c r="L34" s="17" t="str">
        <f aca="false">IF(AND($D34&lt;&gt;"",$E34&lt;&gt;"",L$5&gt;=$D34,L$5&lt;=$E34),IF($F34&gt;=1,3,IF($G34="Blocked",2,IF($G34="Conditional",4,1))),"")</f>
        <v/>
      </c>
      <c r="M34" s="17" t="str">
        <f aca="false">IF(AND($D34&lt;&gt;"",$E34&lt;&gt;"",M$5&gt;=$D34,M$5&lt;=$E34),IF($F34&gt;=1,3,IF($G34="Blocked",2,IF($G34="Conditional",4,1))),"")</f>
        <v/>
      </c>
      <c r="N34" s="17" t="str">
        <f aca="false">IF(AND($D34&lt;&gt;"",$E34&lt;&gt;"",N$5&gt;=$D34,N$5&lt;=$E34),IF($F34&gt;=1,3,IF($G34="Blocked",2,IF($G34="Conditional",4,1))),"")</f>
        <v/>
      </c>
      <c r="O34" s="17" t="str">
        <f aca="false">IF(AND($D34&lt;&gt;"",$E34&lt;&gt;"",O$5&gt;=$D34,O$5&lt;=$E34),IF($F34&gt;=1,3,IF($G34="Blocked",2,IF($G34="Conditional",4,1))),"")</f>
        <v/>
      </c>
      <c r="P34" s="17" t="str">
        <f aca="false">IF(AND($D34&lt;&gt;"",$E34&lt;&gt;"",P$5&gt;=$D34,P$5&lt;=$E34),IF($F34&gt;=1,3,IF($G34="Blocked",2,IF($G34="Conditional",4,1))),"")</f>
        <v/>
      </c>
      <c r="Q34" s="17" t="str">
        <f aca="false">IF(AND($D34&lt;&gt;"",$E34&lt;&gt;"",Q$5&gt;=$D34,Q$5&lt;=$E34),IF($F34&gt;=1,3,IF($G34="Blocked",2,IF($G34="Conditional",4,1))),"")</f>
        <v/>
      </c>
      <c r="R34" s="17" t="str">
        <f aca="false">IF(AND($D34&lt;&gt;"",$E34&lt;&gt;"",R$5&gt;=$D34,R$5&lt;=$E34),IF($F34&gt;=1,3,IF($G34="Blocked",2,IF($G34="Conditional",4,1))),"")</f>
        <v/>
      </c>
      <c r="S34" s="17" t="n">
        <f aca="false">IF(AND($D34&lt;&gt;"",$E34&lt;&gt;"",S$5&gt;=$D34,S$5&lt;=$E34),IF($F34&gt;=1,3,IF($G34="Blocked",2,IF($G34="Conditional",4,1))),"")</f>
        <v>4</v>
      </c>
      <c r="T34" s="17" t="n">
        <f aca="false">IF(AND($D34&lt;&gt;"",$E34&lt;&gt;"",T$5&gt;=$D34,T$5&lt;=$E34),IF($F34&gt;=1,3,IF($G34="Blocked",2,IF($G34="Conditional",4,1))),"")</f>
        <v>4</v>
      </c>
      <c r="U34" s="17" t="str">
        <f aca="false">IF(AND($D34&lt;&gt;"",$E34&lt;&gt;"",U$5&gt;=$D34,U$5&lt;=$E34),IF($F34&gt;=1,3,IF($G34="Blocked",2,IF($G34="Conditional",4,1))),"")</f>
        <v/>
      </c>
      <c r="V34" s="17" t="str">
        <f aca="false">IF(AND($D34&lt;&gt;"",$E34&lt;&gt;"",V$5&gt;=$D34,V$5&lt;=$E34),IF($F34&gt;=1,3,IF($G34="Blocked",2,IF($G34="Conditional",4,1))),"")</f>
        <v/>
      </c>
      <c r="W34" s="17" t="str">
        <f aca="false">IF(AND($D34&lt;&gt;"",$E34&lt;&gt;"",W$5&gt;=$D34,W$5&lt;=$E34),IF($F34&gt;=1,3,IF($G34="Blocked",2,IF($G34="Conditional",4,1))),"")</f>
        <v/>
      </c>
      <c r="X34" s="17" t="str">
        <f aca="false">IF(AND($D34&lt;&gt;"",$E34&lt;&gt;"",X$5&gt;=$D34,X$5&lt;=$E34),IF($F34&gt;=1,3,IF($G34="Blocked",2,IF($G34="Conditional",4,1))),"")</f>
        <v/>
      </c>
      <c r="Y34" s="17" t="str">
        <f aca="false">IF(AND($D34&lt;&gt;"",$E34&lt;&gt;"",Y$5&gt;=$D34,Y$5&lt;=$E34),IF($F34&gt;=1,3,IF($G34="Blocked",2,IF($G34="Conditional",4,1))),"")</f>
        <v/>
      </c>
      <c r="Z34" s="17" t="str">
        <f aca="false">IF(AND($D34&lt;&gt;"",$E34&lt;&gt;"",Z$5&gt;=$D34,Z$5&lt;=$E34),IF($F34&gt;=1,3,IF($G34="Blocked",2,IF($G34="Conditional",4,1))),"")</f>
        <v/>
      </c>
      <c r="AA34" s="17" t="str">
        <f aca="false">IF(AND($D34&lt;&gt;"",$E34&lt;&gt;"",AA$5&gt;=$D34,AA$5&lt;=$E34),IF($F34&gt;=1,3,IF($G34="Blocked",2,IF($G34="Conditional",4,1))),"")</f>
        <v/>
      </c>
      <c r="AB34" s="17" t="str">
        <f aca="false">IF(AND($D34&lt;&gt;"",$E34&lt;&gt;"",AB$5&gt;=$D34,AB$5&lt;=$E34),IF($F34&gt;=1,3,IF($G34="Blocked",2,IF($G34="Conditional",4,1))),"")</f>
        <v/>
      </c>
    </row>
    <row r="35" customFormat="false" ht="21.75" hidden="false" customHeight="true" outlineLevel="0" collapsed="false">
      <c r="A35" s="9" t="s">
        <v>94</v>
      </c>
      <c r="B35" s="10" t="s">
        <v>95</v>
      </c>
      <c r="C35" s="11"/>
      <c r="D35" s="11"/>
      <c r="E35" s="11"/>
      <c r="F35" s="11"/>
      <c r="G35" s="11"/>
      <c r="H35" s="11"/>
      <c r="I35" s="11"/>
      <c r="J35" s="12"/>
      <c r="K35" s="11"/>
      <c r="L35" s="11"/>
      <c r="M35" s="11"/>
      <c r="N35" s="11"/>
      <c r="O35" s="11"/>
      <c r="P35" s="11"/>
      <c r="Q35" s="11"/>
      <c r="R35" s="11"/>
      <c r="S35" s="11"/>
      <c r="T35" s="11"/>
      <c r="U35" s="11"/>
      <c r="V35" s="11"/>
      <c r="W35" s="11"/>
      <c r="X35" s="11"/>
      <c r="Y35" s="11"/>
      <c r="Z35" s="11"/>
      <c r="AA35" s="11"/>
      <c r="AB35" s="11"/>
    </row>
    <row r="36" customFormat="false" ht="21.75" hidden="false" customHeight="true" outlineLevel="0" collapsed="false">
      <c r="A36" s="13" t="s">
        <v>96</v>
      </c>
      <c r="B36" s="14" t="s">
        <v>97</v>
      </c>
      <c r="C36" s="15" t="s">
        <v>34</v>
      </c>
      <c r="D36" s="15" t="n">
        <v>1</v>
      </c>
      <c r="E36" s="15" t="n">
        <v>16</v>
      </c>
      <c r="F36" s="16" t="n">
        <v>0.45</v>
      </c>
      <c r="G36" s="15" t="s">
        <v>44</v>
      </c>
      <c r="H36" s="17" t="n">
        <f aca="false">IF(AND($D36&lt;&gt;"",$E36&lt;&gt;"",H$5&gt;=$D36,H$5&lt;=$E36),IF($F36&gt;=1,3,IF($G36="Blocked",2,IF($G36="Conditional",4,1))),"")</f>
        <v>1</v>
      </c>
      <c r="I36" s="17" t="n">
        <f aca="false">IF(AND($D36&lt;&gt;"",$E36&lt;&gt;"",I$5&gt;=$D36,I$5&lt;=$E36),IF($F36&gt;=1,3,IF($G36="Blocked",2,IF($G36="Conditional",4,1))),"")</f>
        <v>1</v>
      </c>
      <c r="J36" s="18" t="n">
        <f aca="false">IF(AND($D36&lt;&gt;"",$E36&lt;&gt;"",J$5&gt;=$D36,J$5&lt;=$E36),IF($F36&gt;=1,3,IF($G36="Blocked",2,IF($G36="Conditional",4,1))),"")</f>
        <v>1</v>
      </c>
      <c r="K36" s="17" t="n">
        <f aca="false">IF(AND($D36&lt;&gt;"",$E36&lt;&gt;"",K$5&gt;=$D36,K$5&lt;=$E36),IF($F36&gt;=1,3,IF($G36="Blocked",2,IF($G36="Conditional",4,1))),"")</f>
        <v>1</v>
      </c>
      <c r="L36" s="17" t="n">
        <f aca="false">IF(AND($D36&lt;&gt;"",$E36&lt;&gt;"",L$5&gt;=$D36,L$5&lt;=$E36),IF($F36&gt;=1,3,IF($G36="Blocked",2,IF($G36="Conditional",4,1))),"")</f>
        <v>1</v>
      </c>
      <c r="M36" s="17" t="n">
        <f aca="false">IF(AND($D36&lt;&gt;"",$E36&lt;&gt;"",M$5&gt;=$D36,M$5&lt;=$E36),IF($F36&gt;=1,3,IF($G36="Blocked",2,IF($G36="Conditional",4,1))),"")</f>
        <v>1</v>
      </c>
      <c r="N36" s="17" t="n">
        <f aca="false">IF(AND($D36&lt;&gt;"",$E36&lt;&gt;"",N$5&gt;=$D36,N$5&lt;=$E36),IF($F36&gt;=1,3,IF($G36="Blocked",2,IF($G36="Conditional",4,1))),"")</f>
        <v>1</v>
      </c>
      <c r="O36" s="17" t="n">
        <f aca="false">IF(AND($D36&lt;&gt;"",$E36&lt;&gt;"",O$5&gt;=$D36,O$5&lt;=$E36),IF($F36&gt;=1,3,IF($G36="Blocked",2,IF($G36="Conditional",4,1))),"")</f>
        <v>1</v>
      </c>
      <c r="P36" s="17" t="n">
        <f aca="false">IF(AND($D36&lt;&gt;"",$E36&lt;&gt;"",P$5&gt;=$D36,P$5&lt;=$E36),IF($F36&gt;=1,3,IF($G36="Blocked",2,IF($G36="Conditional",4,1))),"")</f>
        <v>1</v>
      </c>
      <c r="Q36" s="17" t="n">
        <f aca="false">IF(AND($D36&lt;&gt;"",$E36&lt;&gt;"",Q$5&gt;=$D36,Q$5&lt;=$E36),IF($F36&gt;=1,3,IF($G36="Blocked",2,IF($G36="Conditional",4,1))),"")</f>
        <v>1</v>
      </c>
      <c r="R36" s="17" t="n">
        <f aca="false">IF(AND($D36&lt;&gt;"",$E36&lt;&gt;"",R$5&gt;=$D36,R$5&lt;=$E36),IF($F36&gt;=1,3,IF($G36="Blocked",2,IF($G36="Conditional",4,1))),"")</f>
        <v>1</v>
      </c>
      <c r="S36" s="17" t="n">
        <f aca="false">IF(AND($D36&lt;&gt;"",$E36&lt;&gt;"",S$5&gt;=$D36,S$5&lt;=$E36),IF($F36&gt;=1,3,IF($G36="Blocked",2,IF($G36="Conditional",4,1))),"")</f>
        <v>1</v>
      </c>
      <c r="T36" s="17" t="n">
        <f aca="false">IF(AND($D36&lt;&gt;"",$E36&lt;&gt;"",T$5&gt;=$D36,T$5&lt;=$E36),IF($F36&gt;=1,3,IF($G36="Blocked",2,IF($G36="Conditional",4,1))),"")</f>
        <v>1</v>
      </c>
      <c r="U36" s="17" t="n">
        <f aca="false">IF(AND($D36&lt;&gt;"",$E36&lt;&gt;"",U$5&gt;=$D36,U$5&lt;=$E36),IF($F36&gt;=1,3,IF($G36="Blocked",2,IF($G36="Conditional",4,1))),"")</f>
        <v>1</v>
      </c>
      <c r="V36" s="17" t="n">
        <f aca="false">IF(AND($D36&lt;&gt;"",$E36&lt;&gt;"",V$5&gt;=$D36,V$5&lt;=$E36),IF($F36&gt;=1,3,IF($G36="Blocked",2,IF($G36="Conditional",4,1))),"")</f>
        <v>1</v>
      </c>
      <c r="W36" s="17" t="n">
        <f aca="false">IF(AND($D36&lt;&gt;"",$E36&lt;&gt;"",W$5&gt;=$D36,W$5&lt;=$E36),IF($F36&gt;=1,3,IF($G36="Blocked",2,IF($G36="Conditional",4,1))),"")</f>
        <v>1</v>
      </c>
      <c r="X36" s="17" t="str">
        <f aca="false">IF(AND($D36&lt;&gt;"",$E36&lt;&gt;"",X$5&gt;=$D36,X$5&lt;=$E36),IF($F36&gt;=1,3,IF($G36="Blocked",2,IF($G36="Conditional",4,1))),"")</f>
        <v/>
      </c>
      <c r="Y36" s="17" t="str">
        <f aca="false">IF(AND($D36&lt;&gt;"",$E36&lt;&gt;"",Y$5&gt;=$D36,Y$5&lt;=$E36),IF($F36&gt;=1,3,IF($G36="Blocked",2,IF($G36="Conditional",4,1))),"")</f>
        <v/>
      </c>
      <c r="Z36" s="17" t="str">
        <f aca="false">IF(AND($D36&lt;&gt;"",$E36&lt;&gt;"",Z$5&gt;=$D36,Z$5&lt;=$E36),IF($F36&gt;=1,3,IF($G36="Blocked",2,IF($G36="Conditional",4,1))),"")</f>
        <v/>
      </c>
      <c r="AA36" s="17" t="str">
        <f aca="false">IF(AND($D36&lt;&gt;"",$E36&lt;&gt;"",AA$5&gt;=$D36,AA$5&lt;=$E36),IF($F36&gt;=1,3,IF($G36="Blocked",2,IF($G36="Conditional",4,1))),"")</f>
        <v/>
      </c>
      <c r="AB36" s="17" t="str">
        <f aca="false">IF(AND($D36&lt;&gt;"",$E36&lt;&gt;"",AB$5&gt;=$D36,AB$5&lt;=$E36),IF($F36&gt;=1,3,IF($G36="Blocked",2,IF($G36="Conditional",4,1))),"")</f>
        <v/>
      </c>
    </row>
    <row r="37" customFormat="false" ht="21.75" hidden="false" customHeight="true" outlineLevel="0" collapsed="false">
      <c r="A37" s="13" t="s">
        <v>98</v>
      </c>
      <c r="B37" s="14" t="s">
        <v>99</v>
      </c>
      <c r="C37" s="15" t="s">
        <v>34</v>
      </c>
      <c r="D37" s="15" t="n">
        <v>2</v>
      </c>
      <c r="E37" s="15" t="n">
        <v>3</v>
      </c>
      <c r="F37" s="16" t="n">
        <v>0</v>
      </c>
      <c r="G37" s="15" t="s">
        <v>52</v>
      </c>
      <c r="H37" s="17" t="str">
        <f aca="false">IF(AND($D37&lt;&gt;"",$E37&lt;&gt;"",H$5&gt;=$D37,H$5&lt;=$E37),IF($F37&gt;=1,3,IF($G37="Blocked",2,IF($G37="Conditional",4,1))),"")</f>
        <v/>
      </c>
      <c r="I37" s="17" t="n">
        <f aca="false">IF(AND($D37&lt;&gt;"",$E37&lt;&gt;"",I$5&gt;=$D37,I$5&lt;=$E37),IF($F37&gt;=1,3,IF($G37="Blocked",2,IF($G37="Conditional",4,1))),"")</f>
        <v>1</v>
      </c>
      <c r="J37" s="18" t="n">
        <f aca="false">IF(AND($D37&lt;&gt;"",$E37&lt;&gt;"",J$5&gt;=$D37,J$5&lt;=$E37),IF($F37&gt;=1,3,IF($G37="Blocked",2,IF($G37="Conditional",4,1))),"")</f>
        <v>1</v>
      </c>
      <c r="K37" s="17" t="str">
        <f aca="false">IF(AND($D37&lt;&gt;"",$E37&lt;&gt;"",K$5&gt;=$D37,K$5&lt;=$E37),IF($F37&gt;=1,3,IF($G37="Blocked",2,IF($G37="Conditional",4,1))),"")</f>
        <v/>
      </c>
      <c r="L37" s="17" t="str">
        <f aca="false">IF(AND($D37&lt;&gt;"",$E37&lt;&gt;"",L$5&gt;=$D37,L$5&lt;=$E37),IF($F37&gt;=1,3,IF($G37="Blocked",2,IF($G37="Conditional",4,1))),"")</f>
        <v/>
      </c>
      <c r="M37" s="17" t="str">
        <f aca="false">IF(AND($D37&lt;&gt;"",$E37&lt;&gt;"",M$5&gt;=$D37,M$5&lt;=$E37),IF($F37&gt;=1,3,IF($G37="Blocked",2,IF($G37="Conditional",4,1))),"")</f>
        <v/>
      </c>
      <c r="N37" s="17" t="str">
        <f aca="false">IF(AND($D37&lt;&gt;"",$E37&lt;&gt;"",N$5&gt;=$D37,N$5&lt;=$E37),IF($F37&gt;=1,3,IF($G37="Blocked",2,IF($G37="Conditional",4,1))),"")</f>
        <v/>
      </c>
      <c r="O37" s="17" t="str">
        <f aca="false">IF(AND($D37&lt;&gt;"",$E37&lt;&gt;"",O$5&gt;=$D37,O$5&lt;=$E37),IF($F37&gt;=1,3,IF($G37="Blocked",2,IF($G37="Conditional",4,1))),"")</f>
        <v/>
      </c>
      <c r="P37" s="17" t="str">
        <f aca="false">IF(AND($D37&lt;&gt;"",$E37&lt;&gt;"",P$5&gt;=$D37,P$5&lt;=$E37),IF($F37&gt;=1,3,IF($G37="Blocked",2,IF($G37="Conditional",4,1))),"")</f>
        <v/>
      </c>
      <c r="Q37" s="17" t="str">
        <f aca="false">IF(AND($D37&lt;&gt;"",$E37&lt;&gt;"",Q$5&gt;=$D37,Q$5&lt;=$E37),IF($F37&gt;=1,3,IF($G37="Blocked",2,IF($G37="Conditional",4,1))),"")</f>
        <v/>
      </c>
      <c r="R37" s="17" t="str">
        <f aca="false">IF(AND($D37&lt;&gt;"",$E37&lt;&gt;"",R$5&gt;=$D37,R$5&lt;=$E37),IF($F37&gt;=1,3,IF($G37="Blocked",2,IF($G37="Conditional",4,1))),"")</f>
        <v/>
      </c>
      <c r="S37" s="17" t="str">
        <f aca="false">IF(AND($D37&lt;&gt;"",$E37&lt;&gt;"",S$5&gt;=$D37,S$5&lt;=$E37),IF($F37&gt;=1,3,IF($G37="Blocked",2,IF($G37="Conditional",4,1))),"")</f>
        <v/>
      </c>
      <c r="T37" s="17" t="str">
        <f aca="false">IF(AND($D37&lt;&gt;"",$E37&lt;&gt;"",T$5&gt;=$D37,T$5&lt;=$E37),IF($F37&gt;=1,3,IF($G37="Blocked",2,IF($G37="Conditional",4,1))),"")</f>
        <v/>
      </c>
      <c r="U37" s="17" t="str">
        <f aca="false">IF(AND($D37&lt;&gt;"",$E37&lt;&gt;"",U$5&gt;=$D37,U$5&lt;=$E37),IF($F37&gt;=1,3,IF($G37="Blocked",2,IF($G37="Conditional",4,1))),"")</f>
        <v/>
      </c>
      <c r="V37" s="17" t="str">
        <f aca="false">IF(AND($D37&lt;&gt;"",$E37&lt;&gt;"",V$5&gt;=$D37,V$5&lt;=$E37),IF($F37&gt;=1,3,IF($G37="Blocked",2,IF($G37="Conditional",4,1))),"")</f>
        <v/>
      </c>
      <c r="W37" s="17" t="str">
        <f aca="false">IF(AND($D37&lt;&gt;"",$E37&lt;&gt;"",W$5&gt;=$D37,W$5&lt;=$E37),IF($F37&gt;=1,3,IF($G37="Blocked",2,IF($G37="Conditional",4,1))),"")</f>
        <v/>
      </c>
      <c r="X37" s="17" t="str">
        <f aca="false">IF(AND($D37&lt;&gt;"",$E37&lt;&gt;"",X$5&gt;=$D37,X$5&lt;=$E37),IF($F37&gt;=1,3,IF($G37="Blocked",2,IF($G37="Conditional",4,1))),"")</f>
        <v/>
      </c>
      <c r="Y37" s="17" t="str">
        <f aca="false">IF(AND($D37&lt;&gt;"",$E37&lt;&gt;"",Y$5&gt;=$D37,Y$5&lt;=$E37),IF($F37&gt;=1,3,IF($G37="Blocked",2,IF($G37="Conditional",4,1))),"")</f>
        <v/>
      </c>
      <c r="Z37" s="17" t="str">
        <f aca="false">IF(AND($D37&lt;&gt;"",$E37&lt;&gt;"",Z$5&gt;=$D37,Z$5&lt;=$E37),IF($F37&gt;=1,3,IF($G37="Blocked",2,IF($G37="Conditional",4,1))),"")</f>
        <v/>
      </c>
      <c r="AA37" s="17" t="str">
        <f aca="false">IF(AND($D37&lt;&gt;"",$E37&lt;&gt;"",AA$5&gt;=$D37,AA$5&lt;=$E37),IF($F37&gt;=1,3,IF($G37="Blocked",2,IF($G37="Conditional",4,1))),"")</f>
        <v/>
      </c>
      <c r="AB37" s="17" t="str">
        <f aca="false">IF(AND($D37&lt;&gt;"",$E37&lt;&gt;"",AB$5&gt;=$D37,AB$5&lt;=$E37),IF($F37&gt;=1,3,IF($G37="Blocked",2,IF($G37="Conditional",4,1))),"")</f>
        <v/>
      </c>
    </row>
    <row r="38" customFormat="false" ht="21.75" hidden="false" customHeight="true" outlineLevel="0" collapsed="false">
      <c r="A38" s="13" t="s">
        <v>100</v>
      </c>
      <c r="B38" s="14" t="s">
        <v>101</v>
      </c>
      <c r="C38" s="15" t="s">
        <v>59</v>
      </c>
      <c r="D38" s="15" t="n">
        <v>14</v>
      </c>
      <c r="E38" s="15" t="n">
        <v>15</v>
      </c>
      <c r="F38" s="16" t="n">
        <v>0</v>
      </c>
      <c r="G38" s="15" t="s">
        <v>52</v>
      </c>
      <c r="H38" s="17" t="str">
        <f aca="false">IF(AND($D38&lt;&gt;"",$E38&lt;&gt;"",H$5&gt;=$D38,H$5&lt;=$E38),IF($F38&gt;=1,3,IF($G38="Blocked",2,IF($G38="Conditional",4,1))),"")</f>
        <v/>
      </c>
      <c r="I38" s="17" t="str">
        <f aca="false">IF(AND($D38&lt;&gt;"",$E38&lt;&gt;"",I$5&gt;=$D38,I$5&lt;=$E38),IF($F38&gt;=1,3,IF($G38="Blocked",2,IF($G38="Conditional",4,1))),"")</f>
        <v/>
      </c>
      <c r="J38" s="18" t="str">
        <f aca="false">IF(AND($D38&lt;&gt;"",$E38&lt;&gt;"",J$5&gt;=$D38,J$5&lt;=$E38),IF($F38&gt;=1,3,IF($G38="Blocked",2,IF($G38="Conditional",4,1))),"")</f>
        <v/>
      </c>
      <c r="K38" s="17" t="str">
        <f aca="false">IF(AND($D38&lt;&gt;"",$E38&lt;&gt;"",K$5&gt;=$D38,K$5&lt;=$E38),IF($F38&gt;=1,3,IF($G38="Blocked",2,IF($G38="Conditional",4,1))),"")</f>
        <v/>
      </c>
      <c r="L38" s="17" t="str">
        <f aca="false">IF(AND($D38&lt;&gt;"",$E38&lt;&gt;"",L$5&gt;=$D38,L$5&lt;=$E38),IF($F38&gt;=1,3,IF($G38="Blocked",2,IF($G38="Conditional",4,1))),"")</f>
        <v/>
      </c>
      <c r="M38" s="17" t="str">
        <f aca="false">IF(AND($D38&lt;&gt;"",$E38&lt;&gt;"",M$5&gt;=$D38,M$5&lt;=$E38),IF($F38&gt;=1,3,IF($G38="Blocked",2,IF($G38="Conditional",4,1))),"")</f>
        <v/>
      </c>
      <c r="N38" s="17" t="str">
        <f aca="false">IF(AND($D38&lt;&gt;"",$E38&lt;&gt;"",N$5&gt;=$D38,N$5&lt;=$E38),IF($F38&gt;=1,3,IF($G38="Blocked",2,IF($G38="Conditional",4,1))),"")</f>
        <v/>
      </c>
      <c r="O38" s="17" t="str">
        <f aca="false">IF(AND($D38&lt;&gt;"",$E38&lt;&gt;"",O$5&gt;=$D38,O$5&lt;=$E38),IF($F38&gt;=1,3,IF($G38="Blocked",2,IF($G38="Conditional",4,1))),"")</f>
        <v/>
      </c>
      <c r="P38" s="17" t="str">
        <f aca="false">IF(AND($D38&lt;&gt;"",$E38&lt;&gt;"",P$5&gt;=$D38,P$5&lt;=$E38),IF($F38&gt;=1,3,IF($G38="Blocked",2,IF($G38="Conditional",4,1))),"")</f>
        <v/>
      </c>
      <c r="Q38" s="17" t="str">
        <f aca="false">IF(AND($D38&lt;&gt;"",$E38&lt;&gt;"",Q$5&gt;=$D38,Q$5&lt;=$E38),IF($F38&gt;=1,3,IF($G38="Blocked",2,IF($G38="Conditional",4,1))),"")</f>
        <v/>
      </c>
      <c r="R38" s="17" t="str">
        <f aca="false">IF(AND($D38&lt;&gt;"",$E38&lt;&gt;"",R$5&gt;=$D38,R$5&lt;=$E38),IF($F38&gt;=1,3,IF($G38="Blocked",2,IF($G38="Conditional",4,1))),"")</f>
        <v/>
      </c>
      <c r="S38" s="17" t="str">
        <f aca="false">IF(AND($D38&lt;&gt;"",$E38&lt;&gt;"",S$5&gt;=$D38,S$5&lt;=$E38),IF($F38&gt;=1,3,IF($G38="Blocked",2,IF($G38="Conditional",4,1))),"")</f>
        <v/>
      </c>
      <c r="T38" s="17" t="str">
        <f aca="false">IF(AND($D38&lt;&gt;"",$E38&lt;&gt;"",T$5&gt;=$D38,T$5&lt;=$E38),IF($F38&gt;=1,3,IF($G38="Blocked",2,IF($G38="Conditional",4,1))),"")</f>
        <v/>
      </c>
      <c r="U38" s="17" t="n">
        <f aca="false">IF(AND($D38&lt;&gt;"",$E38&lt;&gt;"",U$5&gt;=$D38,U$5&lt;=$E38),IF($F38&gt;=1,3,IF($G38="Blocked",2,IF($G38="Conditional",4,1))),"")</f>
        <v>1</v>
      </c>
      <c r="V38" s="17" t="n">
        <f aca="false">IF(AND($D38&lt;&gt;"",$E38&lt;&gt;"",V$5&gt;=$D38,V$5&lt;=$E38),IF($F38&gt;=1,3,IF($G38="Blocked",2,IF($G38="Conditional",4,1))),"")</f>
        <v>1</v>
      </c>
      <c r="W38" s="17" t="str">
        <f aca="false">IF(AND($D38&lt;&gt;"",$E38&lt;&gt;"",W$5&gt;=$D38,W$5&lt;=$E38),IF($F38&gt;=1,3,IF($G38="Blocked",2,IF($G38="Conditional",4,1))),"")</f>
        <v/>
      </c>
      <c r="X38" s="17" t="str">
        <f aca="false">IF(AND($D38&lt;&gt;"",$E38&lt;&gt;"",X$5&gt;=$D38,X$5&lt;=$E38),IF($F38&gt;=1,3,IF($G38="Blocked",2,IF($G38="Conditional",4,1))),"")</f>
        <v/>
      </c>
      <c r="Y38" s="17" t="str">
        <f aca="false">IF(AND($D38&lt;&gt;"",$E38&lt;&gt;"",Y$5&gt;=$D38,Y$5&lt;=$E38),IF($F38&gt;=1,3,IF($G38="Blocked",2,IF($G38="Conditional",4,1))),"")</f>
        <v/>
      </c>
      <c r="Z38" s="17" t="str">
        <f aca="false">IF(AND($D38&lt;&gt;"",$E38&lt;&gt;"",Z$5&gt;=$D38,Z$5&lt;=$E38),IF($F38&gt;=1,3,IF($G38="Blocked",2,IF($G38="Conditional",4,1))),"")</f>
        <v/>
      </c>
      <c r="AA38" s="17" t="str">
        <f aca="false">IF(AND($D38&lt;&gt;"",$E38&lt;&gt;"",AA$5&gt;=$D38,AA$5&lt;=$E38),IF($F38&gt;=1,3,IF($G38="Blocked",2,IF($G38="Conditional",4,1))),"")</f>
        <v/>
      </c>
      <c r="AB38" s="17" t="str">
        <f aca="false">IF(AND($D38&lt;&gt;"",$E38&lt;&gt;"",AB$5&gt;=$D38,AB$5&lt;=$E38),IF($F38&gt;=1,3,IF($G38="Blocked",2,IF($G38="Conditional",4,1))),"")</f>
        <v/>
      </c>
    </row>
    <row r="39" customFormat="false" ht="21.75" hidden="false" customHeight="true" outlineLevel="0" collapsed="false">
      <c r="A39" s="13" t="s">
        <v>102</v>
      </c>
      <c r="B39" s="14" t="s">
        <v>103</v>
      </c>
      <c r="C39" s="15" t="s">
        <v>104</v>
      </c>
      <c r="D39" s="15" t="n">
        <v>15</v>
      </c>
      <c r="E39" s="15" t="n">
        <v>17</v>
      </c>
      <c r="F39" s="16" t="n">
        <v>0</v>
      </c>
      <c r="G39" s="15" t="s">
        <v>52</v>
      </c>
      <c r="H39" s="17" t="str">
        <f aca="false">IF(AND($D39&lt;&gt;"",$E39&lt;&gt;"",H$5&gt;=$D39,H$5&lt;=$E39),IF($F39&gt;=1,3,IF($G39="Blocked",2,IF($G39="Conditional",4,1))),"")</f>
        <v/>
      </c>
      <c r="I39" s="17" t="str">
        <f aca="false">IF(AND($D39&lt;&gt;"",$E39&lt;&gt;"",I$5&gt;=$D39,I$5&lt;=$E39),IF($F39&gt;=1,3,IF($G39="Blocked",2,IF($G39="Conditional",4,1))),"")</f>
        <v/>
      </c>
      <c r="J39" s="18" t="str">
        <f aca="false">IF(AND($D39&lt;&gt;"",$E39&lt;&gt;"",J$5&gt;=$D39,J$5&lt;=$E39),IF($F39&gt;=1,3,IF($G39="Blocked",2,IF($G39="Conditional",4,1))),"")</f>
        <v/>
      </c>
      <c r="K39" s="17" t="str">
        <f aca="false">IF(AND($D39&lt;&gt;"",$E39&lt;&gt;"",K$5&gt;=$D39,K$5&lt;=$E39),IF($F39&gt;=1,3,IF($G39="Blocked",2,IF($G39="Conditional",4,1))),"")</f>
        <v/>
      </c>
      <c r="L39" s="17" t="str">
        <f aca="false">IF(AND($D39&lt;&gt;"",$E39&lt;&gt;"",L$5&gt;=$D39,L$5&lt;=$E39),IF($F39&gt;=1,3,IF($G39="Blocked",2,IF($G39="Conditional",4,1))),"")</f>
        <v/>
      </c>
      <c r="M39" s="17" t="str">
        <f aca="false">IF(AND($D39&lt;&gt;"",$E39&lt;&gt;"",M$5&gt;=$D39,M$5&lt;=$E39),IF($F39&gt;=1,3,IF($G39="Blocked",2,IF($G39="Conditional",4,1))),"")</f>
        <v/>
      </c>
      <c r="N39" s="17" t="str">
        <f aca="false">IF(AND($D39&lt;&gt;"",$E39&lt;&gt;"",N$5&gt;=$D39,N$5&lt;=$E39),IF($F39&gt;=1,3,IF($G39="Blocked",2,IF($G39="Conditional",4,1))),"")</f>
        <v/>
      </c>
      <c r="O39" s="17" t="str">
        <f aca="false">IF(AND($D39&lt;&gt;"",$E39&lt;&gt;"",O$5&gt;=$D39,O$5&lt;=$E39),IF($F39&gt;=1,3,IF($G39="Blocked",2,IF($G39="Conditional",4,1))),"")</f>
        <v/>
      </c>
      <c r="P39" s="17" t="str">
        <f aca="false">IF(AND($D39&lt;&gt;"",$E39&lt;&gt;"",P$5&gt;=$D39,P$5&lt;=$E39),IF($F39&gt;=1,3,IF($G39="Blocked",2,IF($G39="Conditional",4,1))),"")</f>
        <v/>
      </c>
      <c r="Q39" s="17" t="str">
        <f aca="false">IF(AND($D39&lt;&gt;"",$E39&lt;&gt;"",Q$5&gt;=$D39,Q$5&lt;=$E39),IF($F39&gt;=1,3,IF($G39="Blocked",2,IF($G39="Conditional",4,1))),"")</f>
        <v/>
      </c>
      <c r="R39" s="17" t="str">
        <f aca="false">IF(AND($D39&lt;&gt;"",$E39&lt;&gt;"",R$5&gt;=$D39,R$5&lt;=$E39),IF($F39&gt;=1,3,IF($G39="Blocked",2,IF($G39="Conditional",4,1))),"")</f>
        <v/>
      </c>
      <c r="S39" s="17" t="str">
        <f aca="false">IF(AND($D39&lt;&gt;"",$E39&lt;&gt;"",S$5&gt;=$D39,S$5&lt;=$E39),IF($F39&gt;=1,3,IF($G39="Blocked",2,IF($G39="Conditional",4,1))),"")</f>
        <v/>
      </c>
      <c r="T39" s="17" t="str">
        <f aca="false">IF(AND($D39&lt;&gt;"",$E39&lt;&gt;"",T$5&gt;=$D39,T$5&lt;=$E39),IF($F39&gt;=1,3,IF($G39="Blocked",2,IF($G39="Conditional",4,1))),"")</f>
        <v/>
      </c>
      <c r="U39" s="17" t="str">
        <f aca="false">IF(AND($D39&lt;&gt;"",$E39&lt;&gt;"",U$5&gt;=$D39,U$5&lt;=$E39),IF($F39&gt;=1,3,IF($G39="Blocked",2,IF($G39="Conditional",4,1))),"")</f>
        <v/>
      </c>
      <c r="V39" s="17" t="n">
        <f aca="false">IF(AND($D39&lt;&gt;"",$E39&lt;&gt;"",V$5&gt;=$D39,V$5&lt;=$E39),IF($F39&gt;=1,3,IF($G39="Blocked",2,IF($G39="Conditional",4,1))),"")</f>
        <v>1</v>
      </c>
      <c r="W39" s="17" t="n">
        <f aca="false">IF(AND($D39&lt;&gt;"",$E39&lt;&gt;"",W$5&gt;=$D39,W$5&lt;=$E39),IF($F39&gt;=1,3,IF($G39="Blocked",2,IF($G39="Conditional",4,1))),"")</f>
        <v>1</v>
      </c>
      <c r="X39" s="17" t="n">
        <f aca="false">IF(AND($D39&lt;&gt;"",$E39&lt;&gt;"",X$5&gt;=$D39,X$5&lt;=$E39),IF($F39&gt;=1,3,IF($G39="Blocked",2,IF($G39="Conditional",4,1))),"")</f>
        <v>1</v>
      </c>
      <c r="Y39" s="17" t="str">
        <f aca="false">IF(AND($D39&lt;&gt;"",$E39&lt;&gt;"",Y$5&gt;=$D39,Y$5&lt;=$E39),IF($F39&gt;=1,3,IF($G39="Blocked",2,IF($G39="Conditional",4,1))),"")</f>
        <v/>
      </c>
      <c r="Z39" s="17" t="str">
        <f aca="false">IF(AND($D39&lt;&gt;"",$E39&lt;&gt;"",Z$5&gt;=$D39,Z$5&lt;=$E39),IF($F39&gt;=1,3,IF($G39="Blocked",2,IF($G39="Conditional",4,1))),"")</f>
        <v/>
      </c>
      <c r="AA39" s="17" t="str">
        <f aca="false">IF(AND($D39&lt;&gt;"",$E39&lt;&gt;"",AA$5&gt;=$D39,AA$5&lt;=$E39),IF($F39&gt;=1,3,IF($G39="Blocked",2,IF($G39="Conditional",4,1))),"")</f>
        <v/>
      </c>
      <c r="AB39" s="17" t="str">
        <f aca="false">IF(AND($D39&lt;&gt;"",$E39&lt;&gt;"",AB$5&gt;=$D39,AB$5&lt;=$E39),IF($F39&gt;=1,3,IF($G39="Blocked",2,IF($G39="Conditional",4,1))),"")</f>
        <v/>
      </c>
    </row>
    <row r="40" customFormat="false" ht="21.75" hidden="false" customHeight="true" outlineLevel="0" collapsed="false">
      <c r="A40" s="13" t="s">
        <v>105</v>
      </c>
      <c r="B40" s="14" t="s">
        <v>106</v>
      </c>
      <c r="C40" s="15" t="s">
        <v>34</v>
      </c>
      <c r="D40" s="15" t="n">
        <v>15</v>
      </c>
      <c r="E40" s="15" t="n">
        <v>16</v>
      </c>
      <c r="F40" s="16" t="n">
        <v>0</v>
      </c>
      <c r="G40" s="15" t="s">
        <v>52</v>
      </c>
      <c r="H40" s="17" t="str">
        <f aca="false">IF(AND($D40&lt;&gt;"",$E40&lt;&gt;"",H$5&gt;=$D40,H$5&lt;=$E40),IF($F40&gt;=1,3,IF($G40="Blocked",2,IF($G40="Conditional",4,1))),"")</f>
        <v/>
      </c>
      <c r="I40" s="17" t="str">
        <f aca="false">IF(AND($D40&lt;&gt;"",$E40&lt;&gt;"",I$5&gt;=$D40,I$5&lt;=$E40),IF($F40&gt;=1,3,IF($G40="Blocked",2,IF($G40="Conditional",4,1))),"")</f>
        <v/>
      </c>
      <c r="J40" s="18" t="str">
        <f aca="false">IF(AND($D40&lt;&gt;"",$E40&lt;&gt;"",J$5&gt;=$D40,J$5&lt;=$E40),IF($F40&gt;=1,3,IF($G40="Blocked",2,IF($G40="Conditional",4,1))),"")</f>
        <v/>
      </c>
      <c r="K40" s="17" t="str">
        <f aca="false">IF(AND($D40&lt;&gt;"",$E40&lt;&gt;"",K$5&gt;=$D40,K$5&lt;=$E40),IF($F40&gt;=1,3,IF($G40="Blocked",2,IF($G40="Conditional",4,1))),"")</f>
        <v/>
      </c>
      <c r="L40" s="17" t="str">
        <f aca="false">IF(AND($D40&lt;&gt;"",$E40&lt;&gt;"",L$5&gt;=$D40,L$5&lt;=$E40),IF($F40&gt;=1,3,IF($G40="Blocked",2,IF($G40="Conditional",4,1))),"")</f>
        <v/>
      </c>
      <c r="M40" s="17" t="str">
        <f aca="false">IF(AND($D40&lt;&gt;"",$E40&lt;&gt;"",M$5&gt;=$D40,M$5&lt;=$E40),IF($F40&gt;=1,3,IF($G40="Blocked",2,IF($G40="Conditional",4,1))),"")</f>
        <v/>
      </c>
      <c r="N40" s="17" t="str">
        <f aca="false">IF(AND($D40&lt;&gt;"",$E40&lt;&gt;"",N$5&gt;=$D40,N$5&lt;=$E40),IF($F40&gt;=1,3,IF($G40="Blocked",2,IF($G40="Conditional",4,1))),"")</f>
        <v/>
      </c>
      <c r="O40" s="17" t="str">
        <f aca="false">IF(AND($D40&lt;&gt;"",$E40&lt;&gt;"",O$5&gt;=$D40,O$5&lt;=$E40),IF($F40&gt;=1,3,IF($G40="Blocked",2,IF($G40="Conditional",4,1))),"")</f>
        <v/>
      </c>
      <c r="P40" s="17" t="str">
        <f aca="false">IF(AND($D40&lt;&gt;"",$E40&lt;&gt;"",P$5&gt;=$D40,P$5&lt;=$E40),IF($F40&gt;=1,3,IF($G40="Blocked",2,IF($G40="Conditional",4,1))),"")</f>
        <v/>
      </c>
      <c r="Q40" s="17" t="str">
        <f aca="false">IF(AND($D40&lt;&gt;"",$E40&lt;&gt;"",Q$5&gt;=$D40,Q$5&lt;=$E40),IF($F40&gt;=1,3,IF($G40="Blocked",2,IF($G40="Conditional",4,1))),"")</f>
        <v/>
      </c>
      <c r="R40" s="17" t="str">
        <f aca="false">IF(AND($D40&lt;&gt;"",$E40&lt;&gt;"",R$5&gt;=$D40,R$5&lt;=$E40),IF($F40&gt;=1,3,IF($G40="Blocked",2,IF($G40="Conditional",4,1))),"")</f>
        <v/>
      </c>
      <c r="S40" s="17" t="str">
        <f aca="false">IF(AND($D40&lt;&gt;"",$E40&lt;&gt;"",S$5&gt;=$D40,S$5&lt;=$E40),IF($F40&gt;=1,3,IF($G40="Blocked",2,IF($G40="Conditional",4,1))),"")</f>
        <v/>
      </c>
      <c r="T40" s="17" t="str">
        <f aca="false">IF(AND($D40&lt;&gt;"",$E40&lt;&gt;"",T$5&gt;=$D40,T$5&lt;=$E40),IF($F40&gt;=1,3,IF($G40="Blocked",2,IF($G40="Conditional",4,1))),"")</f>
        <v/>
      </c>
      <c r="U40" s="17" t="str">
        <f aca="false">IF(AND($D40&lt;&gt;"",$E40&lt;&gt;"",U$5&gt;=$D40,U$5&lt;=$E40),IF($F40&gt;=1,3,IF($G40="Blocked",2,IF($G40="Conditional",4,1))),"")</f>
        <v/>
      </c>
      <c r="V40" s="17" t="n">
        <f aca="false">IF(AND($D40&lt;&gt;"",$E40&lt;&gt;"",V$5&gt;=$D40,V$5&lt;=$E40),IF($F40&gt;=1,3,IF($G40="Blocked",2,IF($G40="Conditional",4,1))),"")</f>
        <v>1</v>
      </c>
      <c r="W40" s="17" t="n">
        <f aca="false">IF(AND($D40&lt;&gt;"",$E40&lt;&gt;"",W$5&gt;=$D40,W$5&lt;=$E40),IF($F40&gt;=1,3,IF($G40="Blocked",2,IF($G40="Conditional",4,1))),"")</f>
        <v>1</v>
      </c>
      <c r="X40" s="17" t="str">
        <f aca="false">IF(AND($D40&lt;&gt;"",$E40&lt;&gt;"",X$5&gt;=$D40,X$5&lt;=$E40),IF($F40&gt;=1,3,IF($G40="Blocked",2,IF($G40="Conditional",4,1))),"")</f>
        <v/>
      </c>
      <c r="Y40" s="17" t="str">
        <f aca="false">IF(AND($D40&lt;&gt;"",$E40&lt;&gt;"",Y$5&gt;=$D40,Y$5&lt;=$E40),IF($F40&gt;=1,3,IF($G40="Blocked",2,IF($G40="Conditional",4,1))),"")</f>
        <v/>
      </c>
      <c r="Z40" s="17" t="str">
        <f aca="false">IF(AND($D40&lt;&gt;"",$E40&lt;&gt;"",Z$5&gt;=$D40,Z$5&lt;=$E40),IF($F40&gt;=1,3,IF($G40="Blocked",2,IF($G40="Conditional",4,1))),"")</f>
        <v/>
      </c>
      <c r="AA40" s="17" t="str">
        <f aca="false">IF(AND($D40&lt;&gt;"",$E40&lt;&gt;"",AA$5&gt;=$D40,AA$5&lt;=$E40),IF($F40&gt;=1,3,IF($G40="Blocked",2,IF($G40="Conditional",4,1))),"")</f>
        <v/>
      </c>
      <c r="AB40" s="17" t="str">
        <f aca="false">IF(AND($D40&lt;&gt;"",$E40&lt;&gt;"",AB$5&gt;=$D40,AB$5&lt;=$E40),IF($F40&gt;=1,3,IF($G40="Blocked",2,IF($G40="Conditional",4,1))),"")</f>
        <v/>
      </c>
    </row>
    <row r="41" customFormat="false" ht="21.75" hidden="false" customHeight="true" outlineLevel="0" collapsed="false">
      <c r="A41" s="13" t="s">
        <v>107</v>
      </c>
      <c r="B41" s="14" t="s">
        <v>108</v>
      </c>
      <c r="C41" s="15" t="s">
        <v>104</v>
      </c>
      <c r="D41" s="15" t="n">
        <v>17</v>
      </c>
      <c r="E41" s="15" t="n">
        <v>18</v>
      </c>
      <c r="F41" s="16" t="n">
        <v>0</v>
      </c>
      <c r="G41" s="15" t="s">
        <v>52</v>
      </c>
      <c r="H41" s="17" t="str">
        <f aca="false">IF(AND($D41&lt;&gt;"",$E41&lt;&gt;"",H$5&gt;=$D41,H$5&lt;=$E41),IF($F41&gt;=1,3,IF($G41="Blocked",2,IF($G41="Conditional",4,1))),"")</f>
        <v/>
      </c>
      <c r="I41" s="17" t="str">
        <f aca="false">IF(AND($D41&lt;&gt;"",$E41&lt;&gt;"",I$5&gt;=$D41,I$5&lt;=$E41),IF($F41&gt;=1,3,IF($G41="Blocked",2,IF($G41="Conditional",4,1))),"")</f>
        <v/>
      </c>
      <c r="J41" s="18" t="str">
        <f aca="false">IF(AND($D41&lt;&gt;"",$E41&lt;&gt;"",J$5&gt;=$D41,J$5&lt;=$E41),IF($F41&gt;=1,3,IF($G41="Blocked",2,IF($G41="Conditional",4,1))),"")</f>
        <v/>
      </c>
      <c r="K41" s="17" t="str">
        <f aca="false">IF(AND($D41&lt;&gt;"",$E41&lt;&gt;"",K$5&gt;=$D41,K$5&lt;=$E41),IF($F41&gt;=1,3,IF($G41="Blocked",2,IF($G41="Conditional",4,1))),"")</f>
        <v/>
      </c>
      <c r="L41" s="17" t="str">
        <f aca="false">IF(AND($D41&lt;&gt;"",$E41&lt;&gt;"",L$5&gt;=$D41,L$5&lt;=$E41),IF($F41&gt;=1,3,IF($G41="Blocked",2,IF($G41="Conditional",4,1))),"")</f>
        <v/>
      </c>
      <c r="M41" s="17" t="str">
        <f aca="false">IF(AND($D41&lt;&gt;"",$E41&lt;&gt;"",M$5&gt;=$D41,M$5&lt;=$E41),IF($F41&gt;=1,3,IF($G41="Blocked",2,IF($G41="Conditional",4,1))),"")</f>
        <v/>
      </c>
      <c r="N41" s="17" t="str">
        <f aca="false">IF(AND($D41&lt;&gt;"",$E41&lt;&gt;"",N$5&gt;=$D41,N$5&lt;=$E41),IF($F41&gt;=1,3,IF($G41="Blocked",2,IF($G41="Conditional",4,1))),"")</f>
        <v/>
      </c>
      <c r="O41" s="17" t="str">
        <f aca="false">IF(AND($D41&lt;&gt;"",$E41&lt;&gt;"",O$5&gt;=$D41,O$5&lt;=$E41),IF($F41&gt;=1,3,IF($G41="Blocked",2,IF($G41="Conditional",4,1))),"")</f>
        <v/>
      </c>
      <c r="P41" s="17" t="str">
        <f aca="false">IF(AND($D41&lt;&gt;"",$E41&lt;&gt;"",P$5&gt;=$D41,P$5&lt;=$E41),IF($F41&gt;=1,3,IF($G41="Blocked",2,IF($G41="Conditional",4,1))),"")</f>
        <v/>
      </c>
      <c r="Q41" s="17" t="str">
        <f aca="false">IF(AND($D41&lt;&gt;"",$E41&lt;&gt;"",Q$5&gt;=$D41,Q$5&lt;=$E41),IF($F41&gt;=1,3,IF($G41="Blocked",2,IF($G41="Conditional",4,1))),"")</f>
        <v/>
      </c>
      <c r="R41" s="17" t="str">
        <f aca="false">IF(AND($D41&lt;&gt;"",$E41&lt;&gt;"",R$5&gt;=$D41,R$5&lt;=$E41),IF($F41&gt;=1,3,IF($G41="Blocked",2,IF($G41="Conditional",4,1))),"")</f>
        <v/>
      </c>
      <c r="S41" s="17" t="str">
        <f aca="false">IF(AND($D41&lt;&gt;"",$E41&lt;&gt;"",S$5&gt;=$D41,S$5&lt;=$E41),IF($F41&gt;=1,3,IF($G41="Blocked",2,IF($G41="Conditional",4,1))),"")</f>
        <v/>
      </c>
      <c r="T41" s="17" t="str">
        <f aca="false">IF(AND($D41&lt;&gt;"",$E41&lt;&gt;"",T$5&gt;=$D41,T$5&lt;=$E41),IF($F41&gt;=1,3,IF($G41="Blocked",2,IF($G41="Conditional",4,1))),"")</f>
        <v/>
      </c>
      <c r="U41" s="17" t="str">
        <f aca="false">IF(AND($D41&lt;&gt;"",$E41&lt;&gt;"",U$5&gt;=$D41,U$5&lt;=$E41),IF($F41&gt;=1,3,IF($G41="Blocked",2,IF($G41="Conditional",4,1))),"")</f>
        <v/>
      </c>
      <c r="V41" s="17" t="str">
        <f aca="false">IF(AND($D41&lt;&gt;"",$E41&lt;&gt;"",V$5&gt;=$D41,V$5&lt;=$E41),IF($F41&gt;=1,3,IF($G41="Blocked",2,IF($G41="Conditional",4,1))),"")</f>
        <v/>
      </c>
      <c r="W41" s="17" t="str">
        <f aca="false">IF(AND($D41&lt;&gt;"",$E41&lt;&gt;"",W$5&gt;=$D41,W$5&lt;=$E41),IF($F41&gt;=1,3,IF($G41="Blocked",2,IF($G41="Conditional",4,1))),"")</f>
        <v/>
      </c>
      <c r="X41" s="17" t="n">
        <f aca="false">IF(AND($D41&lt;&gt;"",$E41&lt;&gt;"",X$5&gt;=$D41,X$5&lt;=$E41),IF($F41&gt;=1,3,IF($G41="Blocked",2,IF($G41="Conditional",4,1))),"")</f>
        <v>1</v>
      </c>
      <c r="Y41" s="17" t="n">
        <f aca="false">IF(AND($D41&lt;&gt;"",$E41&lt;&gt;"",Y$5&gt;=$D41,Y$5&lt;=$E41),IF($F41&gt;=1,3,IF($G41="Blocked",2,IF($G41="Conditional",4,1))),"")</f>
        <v>1</v>
      </c>
      <c r="Z41" s="17" t="str">
        <f aca="false">IF(AND($D41&lt;&gt;"",$E41&lt;&gt;"",Z$5&gt;=$D41,Z$5&lt;=$E41),IF($F41&gt;=1,3,IF($G41="Blocked",2,IF($G41="Conditional",4,1))),"")</f>
        <v/>
      </c>
      <c r="AA41" s="17" t="str">
        <f aca="false">IF(AND($D41&lt;&gt;"",$E41&lt;&gt;"",AA$5&gt;=$D41,AA$5&lt;=$E41),IF($F41&gt;=1,3,IF($G41="Blocked",2,IF($G41="Conditional",4,1))),"")</f>
        <v/>
      </c>
      <c r="AB41" s="17" t="str">
        <f aca="false">IF(AND($D41&lt;&gt;"",$E41&lt;&gt;"",AB$5&gt;=$D41,AB$5&lt;=$E41),IF($F41&gt;=1,3,IF($G41="Blocked",2,IF($G41="Conditional",4,1))),"")</f>
        <v/>
      </c>
    </row>
    <row r="42" customFormat="false" ht="21.75" hidden="false" customHeight="true" outlineLevel="0" collapsed="false">
      <c r="A42" s="13" t="s">
        <v>109</v>
      </c>
      <c r="B42" s="14" t="s">
        <v>110</v>
      </c>
      <c r="C42" s="15" t="s">
        <v>104</v>
      </c>
      <c r="D42" s="15" t="n">
        <v>18</v>
      </c>
      <c r="E42" s="15" t="n">
        <v>18</v>
      </c>
      <c r="F42" s="16" t="n">
        <v>0</v>
      </c>
      <c r="G42" s="15" t="s">
        <v>52</v>
      </c>
      <c r="H42" s="17" t="str">
        <f aca="false">IF(AND($D42&lt;&gt;"",$E42&lt;&gt;"",H$5&gt;=$D42,H$5&lt;=$E42),IF($F42&gt;=1,3,IF($G42="Blocked",2,IF($G42="Conditional",4,1))),"")</f>
        <v/>
      </c>
      <c r="I42" s="17" t="str">
        <f aca="false">IF(AND($D42&lt;&gt;"",$E42&lt;&gt;"",I$5&gt;=$D42,I$5&lt;=$E42),IF($F42&gt;=1,3,IF($G42="Blocked",2,IF($G42="Conditional",4,1))),"")</f>
        <v/>
      </c>
      <c r="J42" s="18" t="str">
        <f aca="false">IF(AND($D42&lt;&gt;"",$E42&lt;&gt;"",J$5&gt;=$D42,J$5&lt;=$E42),IF($F42&gt;=1,3,IF($G42="Blocked",2,IF($G42="Conditional",4,1))),"")</f>
        <v/>
      </c>
      <c r="K42" s="17" t="str">
        <f aca="false">IF(AND($D42&lt;&gt;"",$E42&lt;&gt;"",K$5&gt;=$D42,K$5&lt;=$E42),IF($F42&gt;=1,3,IF($G42="Blocked",2,IF($G42="Conditional",4,1))),"")</f>
        <v/>
      </c>
      <c r="L42" s="17" t="str">
        <f aca="false">IF(AND($D42&lt;&gt;"",$E42&lt;&gt;"",L$5&gt;=$D42,L$5&lt;=$E42),IF($F42&gt;=1,3,IF($G42="Blocked",2,IF($G42="Conditional",4,1))),"")</f>
        <v/>
      </c>
      <c r="M42" s="17" t="str">
        <f aca="false">IF(AND($D42&lt;&gt;"",$E42&lt;&gt;"",M$5&gt;=$D42,M$5&lt;=$E42),IF($F42&gt;=1,3,IF($G42="Blocked",2,IF($G42="Conditional",4,1))),"")</f>
        <v/>
      </c>
      <c r="N42" s="17" t="str">
        <f aca="false">IF(AND($D42&lt;&gt;"",$E42&lt;&gt;"",N$5&gt;=$D42,N$5&lt;=$E42),IF($F42&gt;=1,3,IF($G42="Blocked",2,IF($G42="Conditional",4,1))),"")</f>
        <v/>
      </c>
      <c r="O42" s="17" t="str">
        <f aca="false">IF(AND($D42&lt;&gt;"",$E42&lt;&gt;"",O$5&gt;=$D42,O$5&lt;=$E42),IF($F42&gt;=1,3,IF($G42="Blocked",2,IF($G42="Conditional",4,1))),"")</f>
        <v/>
      </c>
      <c r="P42" s="17" t="str">
        <f aca="false">IF(AND($D42&lt;&gt;"",$E42&lt;&gt;"",P$5&gt;=$D42,P$5&lt;=$E42),IF($F42&gt;=1,3,IF($G42="Blocked",2,IF($G42="Conditional",4,1))),"")</f>
        <v/>
      </c>
      <c r="Q42" s="17" t="str">
        <f aca="false">IF(AND($D42&lt;&gt;"",$E42&lt;&gt;"",Q$5&gt;=$D42,Q$5&lt;=$E42),IF($F42&gt;=1,3,IF($G42="Blocked",2,IF($G42="Conditional",4,1))),"")</f>
        <v/>
      </c>
      <c r="R42" s="17" t="str">
        <f aca="false">IF(AND($D42&lt;&gt;"",$E42&lt;&gt;"",R$5&gt;=$D42,R$5&lt;=$E42),IF($F42&gt;=1,3,IF($G42="Blocked",2,IF($G42="Conditional",4,1))),"")</f>
        <v/>
      </c>
      <c r="S42" s="17" t="str">
        <f aca="false">IF(AND($D42&lt;&gt;"",$E42&lt;&gt;"",S$5&gt;=$D42,S$5&lt;=$E42),IF($F42&gt;=1,3,IF($G42="Blocked",2,IF($G42="Conditional",4,1))),"")</f>
        <v/>
      </c>
      <c r="T42" s="17" t="str">
        <f aca="false">IF(AND($D42&lt;&gt;"",$E42&lt;&gt;"",T$5&gt;=$D42,T$5&lt;=$E42),IF($F42&gt;=1,3,IF($G42="Blocked",2,IF($G42="Conditional",4,1))),"")</f>
        <v/>
      </c>
      <c r="U42" s="17" t="str">
        <f aca="false">IF(AND($D42&lt;&gt;"",$E42&lt;&gt;"",U$5&gt;=$D42,U$5&lt;=$E42),IF($F42&gt;=1,3,IF($G42="Blocked",2,IF($G42="Conditional",4,1))),"")</f>
        <v/>
      </c>
      <c r="V42" s="17" t="str">
        <f aca="false">IF(AND($D42&lt;&gt;"",$E42&lt;&gt;"",V$5&gt;=$D42,V$5&lt;=$E42),IF($F42&gt;=1,3,IF($G42="Blocked",2,IF($G42="Conditional",4,1))),"")</f>
        <v/>
      </c>
      <c r="W42" s="17" t="str">
        <f aca="false">IF(AND($D42&lt;&gt;"",$E42&lt;&gt;"",W$5&gt;=$D42,W$5&lt;=$E42),IF($F42&gt;=1,3,IF($G42="Blocked",2,IF($G42="Conditional",4,1))),"")</f>
        <v/>
      </c>
      <c r="X42" s="17" t="str">
        <f aca="false">IF(AND($D42&lt;&gt;"",$E42&lt;&gt;"",X$5&gt;=$D42,X$5&lt;=$E42),IF($F42&gt;=1,3,IF($G42="Blocked",2,IF($G42="Conditional",4,1))),"")</f>
        <v/>
      </c>
      <c r="Y42" s="17" t="n">
        <f aca="false">IF(AND($D42&lt;&gt;"",$E42&lt;&gt;"",Y$5&gt;=$D42,Y$5&lt;=$E42),IF($F42&gt;=1,3,IF($G42="Blocked",2,IF($G42="Conditional",4,1))),"")</f>
        <v>1</v>
      </c>
      <c r="Z42" s="17" t="str">
        <f aca="false">IF(AND($D42&lt;&gt;"",$E42&lt;&gt;"",Z$5&gt;=$D42,Z$5&lt;=$E42),IF($F42&gt;=1,3,IF($G42="Blocked",2,IF($G42="Conditional",4,1))),"")</f>
        <v/>
      </c>
      <c r="AA42" s="17" t="str">
        <f aca="false">IF(AND($D42&lt;&gt;"",$E42&lt;&gt;"",AA$5&gt;=$D42,AA$5&lt;=$E42),IF($F42&gt;=1,3,IF($G42="Blocked",2,IF($G42="Conditional",4,1))),"")</f>
        <v/>
      </c>
      <c r="AB42" s="17" t="str">
        <f aca="false">IF(AND($D42&lt;&gt;"",$E42&lt;&gt;"",AB$5&gt;=$D42,AB$5&lt;=$E42),IF($F42&gt;=1,3,IF($G42="Blocked",2,IF($G42="Conditional",4,1))),"")</f>
        <v/>
      </c>
    </row>
    <row r="43" customFormat="false" ht="21.75" hidden="false" customHeight="true" outlineLevel="0" collapsed="false">
      <c r="A43" s="13" t="s">
        <v>111</v>
      </c>
      <c r="B43" s="14" t="s">
        <v>112</v>
      </c>
      <c r="C43" s="15" t="s">
        <v>104</v>
      </c>
      <c r="D43" s="15" t="n">
        <v>19</v>
      </c>
      <c r="E43" s="15" t="n">
        <v>21</v>
      </c>
      <c r="F43" s="16" t="n">
        <v>0</v>
      </c>
      <c r="G43" s="15" t="s">
        <v>49</v>
      </c>
      <c r="H43" s="17" t="str">
        <f aca="false">IF(AND($D43&lt;&gt;"",$E43&lt;&gt;"",H$5&gt;=$D43,H$5&lt;=$E43),IF($F43&gt;=1,3,IF($G43="Blocked",2,IF($G43="Conditional",4,1))),"")</f>
        <v/>
      </c>
      <c r="I43" s="17" t="str">
        <f aca="false">IF(AND($D43&lt;&gt;"",$E43&lt;&gt;"",I$5&gt;=$D43,I$5&lt;=$E43),IF($F43&gt;=1,3,IF($G43="Blocked",2,IF($G43="Conditional",4,1))),"")</f>
        <v/>
      </c>
      <c r="J43" s="18" t="str">
        <f aca="false">IF(AND($D43&lt;&gt;"",$E43&lt;&gt;"",J$5&gt;=$D43,J$5&lt;=$E43),IF($F43&gt;=1,3,IF($G43="Blocked",2,IF($G43="Conditional",4,1))),"")</f>
        <v/>
      </c>
      <c r="K43" s="17" t="str">
        <f aca="false">IF(AND($D43&lt;&gt;"",$E43&lt;&gt;"",K$5&gt;=$D43,K$5&lt;=$E43),IF($F43&gt;=1,3,IF($G43="Blocked",2,IF($G43="Conditional",4,1))),"")</f>
        <v/>
      </c>
      <c r="L43" s="17" t="str">
        <f aca="false">IF(AND($D43&lt;&gt;"",$E43&lt;&gt;"",L$5&gt;=$D43,L$5&lt;=$E43),IF($F43&gt;=1,3,IF($G43="Blocked",2,IF($G43="Conditional",4,1))),"")</f>
        <v/>
      </c>
      <c r="M43" s="17" t="str">
        <f aca="false">IF(AND($D43&lt;&gt;"",$E43&lt;&gt;"",M$5&gt;=$D43,M$5&lt;=$E43),IF($F43&gt;=1,3,IF($G43="Blocked",2,IF($G43="Conditional",4,1))),"")</f>
        <v/>
      </c>
      <c r="N43" s="17" t="str">
        <f aca="false">IF(AND($D43&lt;&gt;"",$E43&lt;&gt;"",N$5&gt;=$D43,N$5&lt;=$E43),IF($F43&gt;=1,3,IF($G43="Blocked",2,IF($G43="Conditional",4,1))),"")</f>
        <v/>
      </c>
      <c r="O43" s="17" t="str">
        <f aca="false">IF(AND($D43&lt;&gt;"",$E43&lt;&gt;"",O$5&gt;=$D43,O$5&lt;=$E43),IF($F43&gt;=1,3,IF($G43="Blocked",2,IF($G43="Conditional",4,1))),"")</f>
        <v/>
      </c>
      <c r="P43" s="17" t="str">
        <f aca="false">IF(AND($D43&lt;&gt;"",$E43&lt;&gt;"",P$5&gt;=$D43,P$5&lt;=$E43),IF($F43&gt;=1,3,IF($G43="Blocked",2,IF($G43="Conditional",4,1))),"")</f>
        <v/>
      </c>
      <c r="Q43" s="17" t="str">
        <f aca="false">IF(AND($D43&lt;&gt;"",$E43&lt;&gt;"",Q$5&gt;=$D43,Q$5&lt;=$E43),IF($F43&gt;=1,3,IF($G43="Blocked",2,IF($G43="Conditional",4,1))),"")</f>
        <v/>
      </c>
      <c r="R43" s="17" t="str">
        <f aca="false">IF(AND($D43&lt;&gt;"",$E43&lt;&gt;"",R$5&gt;=$D43,R$5&lt;=$E43),IF($F43&gt;=1,3,IF($G43="Blocked",2,IF($G43="Conditional",4,1))),"")</f>
        <v/>
      </c>
      <c r="S43" s="17" t="str">
        <f aca="false">IF(AND($D43&lt;&gt;"",$E43&lt;&gt;"",S$5&gt;=$D43,S$5&lt;=$E43),IF($F43&gt;=1,3,IF($G43="Blocked",2,IF($G43="Conditional",4,1))),"")</f>
        <v/>
      </c>
      <c r="T43" s="17" t="str">
        <f aca="false">IF(AND($D43&lt;&gt;"",$E43&lt;&gt;"",T$5&gt;=$D43,T$5&lt;=$E43),IF($F43&gt;=1,3,IF($G43="Blocked",2,IF($G43="Conditional",4,1))),"")</f>
        <v/>
      </c>
      <c r="U43" s="17" t="str">
        <f aca="false">IF(AND($D43&lt;&gt;"",$E43&lt;&gt;"",U$5&gt;=$D43,U$5&lt;=$E43),IF($F43&gt;=1,3,IF($G43="Blocked",2,IF($G43="Conditional",4,1))),"")</f>
        <v/>
      </c>
      <c r="V43" s="17" t="str">
        <f aca="false">IF(AND($D43&lt;&gt;"",$E43&lt;&gt;"",V$5&gt;=$D43,V$5&lt;=$E43),IF($F43&gt;=1,3,IF($G43="Blocked",2,IF($G43="Conditional",4,1))),"")</f>
        <v/>
      </c>
      <c r="W43" s="17" t="str">
        <f aca="false">IF(AND($D43&lt;&gt;"",$E43&lt;&gt;"",W$5&gt;=$D43,W$5&lt;=$E43),IF($F43&gt;=1,3,IF($G43="Blocked",2,IF($G43="Conditional",4,1))),"")</f>
        <v/>
      </c>
      <c r="X43" s="17" t="str">
        <f aca="false">IF(AND($D43&lt;&gt;"",$E43&lt;&gt;"",X$5&gt;=$D43,X$5&lt;=$E43),IF($F43&gt;=1,3,IF($G43="Blocked",2,IF($G43="Conditional",4,1))),"")</f>
        <v/>
      </c>
      <c r="Y43" s="17" t="str">
        <f aca="false">IF(AND($D43&lt;&gt;"",$E43&lt;&gt;"",Y$5&gt;=$D43,Y$5&lt;=$E43),IF($F43&gt;=1,3,IF($G43="Blocked",2,IF($G43="Conditional",4,1))),"")</f>
        <v/>
      </c>
      <c r="Z43" s="17" t="n">
        <f aca="false">IF(AND($D43&lt;&gt;"",$E43&lt;&gt;"",Z$5&gt;=$D43,Z$5&lt;=$E43),IF($F43&gt;=1,3,IF($G43="Blocked",2,IF($G43="Conditional",4,1))),"")</f>
        <v>4</v>
      </c>
      <c r="AA43" s="17" t="n">
        <f aca="false">IF(AND($D43&lt;&gt;"",$E43&lt;&gt;"",AA$5&gt;=$D43,AA$5&lt;=$E43),IF($F43&gt;=1,3,IF($G43="Blocked",2,IF($G43="Conditional",4,1))),"")</f>
        <v>4</v>
      </c>
      <c r="AB43" s="17" t="n">
        <f aca="false">IF(AND($D43&lt;&gt;"",$E43&lt;&gt;"",AB$5&gt;=$D43,AB$5&lt;=$E43),IF($F43&gt;=1,3,IF($G43="Blocked",2,IF($G43="Conditional",4,1))),"")</f>
        <v>4</v>
      </c>
    </row>
    <row r="45" customFormat="false" ht="15" hidden="false" customHeight="true" outlineLevel="0" collapsed="false">
      <c r="A45" s="19" t="s">
        <v>113</v>
      </c>
    </row>
    <row r="46" customFormat="false" ht="15" hidden="false" customHeight="true" outlineLevel="0" collapsed="false">
      <c r="A46" s="20"/>
      <c r="B46" s="21" t="s">
        <v>35</v>
      </c>
    </row>
    <row r="47" customFormat="false" ht="15" hidden="false" customHeight="true" outlineLevel="0" collapsed="false">
      <c r="A47" s="22"/>
      <c r="B47" s="21" t="s">
        <v>114</v>
      </c>
    </row>
    <row r="48" customFormat="false" ht="15" hidden="false" customHeight="true" outlineLevel="0" collapsed="false">
      <c r="A48" s="23"/>
      <c r="B48" s="21" t="s">
        <v>115</v>
      </c>
    </row>
    <row r="49" customFormat="false" ht="15" hidden="false" customHeight="true" outlineLevel="0" collapsed="false">
      <c r="A49" s="24"/>
      <c r="B49" s="21" t="s">
        <v>116</v>
      </c>
    </row>
    <row r="50" customFormat="false" ht="15" hidden="false" customHeight="true" outlineLevel="0" collapsed="false">
      <c r="B50" s="21" t="s">
        <v>117</v>
      </c>
    </row>
    <row r="51" customFormat="false" ht="15" hidden="false" customHeight="true" outlineLevel="0" collapsed="false">
      <c r="B51" s="21" t="s">
        <v>118</v>
      </c>
    </row>
  </sheetData>
  <mergeCells count="2">
    <mergeCell ref="A1:H1"/>
    <mergeCell ref="A2:N2"/>
  </mergeCells>
  <conditionalFormatting sqref="H6:AB43">
    <cfRule type="cellIs" priority="2" operator="equal" aboveAverage="0" equalAverage="0" bottom="0" percent="0" rank="0" text="" dxfId="0">
      <formula>3</formula>
    </cfRule>
    <cfRule type="cellIs" priority="3" operator="equal" aboveAverage="0" equalAverage="0" bottom="0" percent="0" rank="0" text="" dxfId="1">
      <formula>2</formula>
    </cfRule>
    <cfRule type="cellIs" priority="4" operator="equal" aboveAverage="0" equalAverage="0" bottom="0" percent="0" rank="0" text="" dxfId="2">
      <formula>4</formula>
    </cfRule>
    <cfRule type="cellIs" priority="5" operator="equal" aboveAverage="0" equalAverage="0" bottom="0" percent="0" rank="0" text="" dxfId="3">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8"/>
    <col collapsed="false" customWidth="true" hidden="false" outlineLevel="0" max="4" min="3" style="1" width="12"/>
    <col collapsed="false" customWidth="true" hidden="false" outlineLevel="0" max="6" min="5" style="1" width="14"/>
    <col collapsed="false" customWidth="true" hidden="false" outlineLevel="0" max="7" min="7" style="1" width="10"/>
    <col collapsed="false" customWidth="true" hidden="false" outlineLevel="0" max="8" min="8" style="1" width="12"/>
    <col collapsed="false" customWidth="true" hidden="false" outlineLevel="0" max="9" min="9" style="1" width="14"/>
  </cols>
  <sheetData>
    <row r="1" customFormat="false" ht="18" hidden="false" customHeight="true" outlineLevel="0" collapsed="false">
      <c r="A1" s="2" t="s">
        <v>119</v>
      </c>
      <c r="B1" s="2"/>
      <c r="C1" s="2"/>
      <c r="D1" s="2"/>
      <c r="E1" s="2"/>
      <c r="F1" s="2"/>
      <c r="G1" s="2"/>
      <c r="H1" s="2"/>
      <c r="I1" s="2"/>
    </row>
    <row r="2" customFormat="false" ht="25.5" hidden="false" customHeight="true" outlineLevel="0" collapsed="false">
      <c r="A2" s="3" t="s">
        <v>120</v>
      </c>
      <c r="B2" s="3"/>
      <c r="C2" s="3"/>
      <c r="D2" s="3"/>
      <c r="E2" s="3"/>
      <c r="F2" s="3"/>
      <c r="G2" s="3"/>
      <c r="H2" s="3"/>
      <c r="I2" s="3"/>
    </row>
    <row r="3" customFormat="false" ht="25.5" hidden="false" customHeight="true" outlineLevel="0" collapsed="false">
      <c r="A3" s="3" t="s">
        <v>121</v>
      </c>
      <c r="B3" s="3"/>
      <c r="C3" s="3"/>
      <c r="D3" s="3"/>
      <c r="E3" s="3"/>
      <c r="F3" s="3"/>
      <c r="G3" s="3"/>
      <c r="H3" s="3"/>
      <c r="I3" s="3"/>
    </row>
    <row r="5" customFormat="false" ht="30" hidden="false" customHeight="true" outlineLevel="0" collapsed="false">
      <c r="A5" s="6" t="s">
        <v>23</v>
      </c>
      <c r="B5" s="6" t="s">
        <v>122</v>
      </c>
      <c r="C5" s="6" t="s">
        <v>123</v>
      </c>
      <c r="D5" s="6" t="s">
        <v>25</v>
      </c>
      <c r="E5" s="6" t="s">
        <v>124</v>
      </c>
      <c r="F5" s="6" t="s">
        <v>125</v>
      </c>
      <c r="G5" s="6" t="s">
        <v>126</v>
      </c>
      <c r="H5" s="6" t="s">
        <v>127</v>
      </c>
      <c r="I5" s="6" t="s">
        <v>29</v>
      </c>
    </row>
    <row r="6" customFormat="false" ht="21.75" hidden="false" customHeight="true" outlineLevel="0" collapsed="false">
      <c r="A6" s="25" t="s">
        <v>30</v>
      </c>
      <c r="B6" s="25" t="s">
        <v>31</v>
      </c>
      <c r="C6" s="11"/>
      <c r="D6" s="11"/>
      <c r="E6" s="11"/>
      <c r="F6" s="11"/>
      <c r="G6" s="11"/>
      <c r="H6" s="11"/>
      <c r="I6" s="11"/>
    </row>
    <row r="7" customFormat="false" ht="21.75" hidden="false" customHeight="true" outlineLevel="0" collapsed="false">
      <c r="A7" s="21" t="s">
        <v>32</v>
      </c>
      <c r="B7" s="14" t="s">
        <v>33</v>
      </c>
      <c r="C7" s="15" t="s">
        <v>128</v>
      </c>
      <c r="D7" s="15" t="s">
        <v>34</v>
      </c>
      <c r="E7" s="15" t="s">
        <v>129</v>
      </c>
      <c r="F7" s="15" t="s">
        <v>129</v>
      </c>
      <c r="G7" s="16" t="n">
        <v>0.03</v>
      </c>
      <c r="H7" s="16" t="n">
        <v>1</v>
      </c>
      <c r="I7" s="15" t="s">
        <v>35</v>
      </c>
    </row>
    <row r="8" customFormat="false" ht="21.75" hidden="false" customHeight="true" outlineLevel="0" collapsed="false">
      <c r="A8" s="21" t="s">
        <v>36</v>
      </c>
      <c r="B8" s="14" t="s">
        <v>37</v>
      </c>
      <c r="C8" s="15" t="s">
        <v>130</v>
      </c>
      <c r="D8" s="15" t="s">
        <v>34</v>
      </c>
      <c r="E8" s="15" t="s">
        <v>129</v>
      </c>
      <c r="F8" s="15" t="s">
        <v>131</v>
      </c>
      <c r="G8" s="16" t="n">
        <v>0.05</v>
      </c>
      <c r="H8" s="16" t="n">
        <v>1</v>
      </c>
      <c r="I8" s="15" t="s">
        <v>35</v>
      </c>
    </row>
    <row r="9" customFormat="false" ht="21.75" hidden="false" customHeight="true" outlineLevel="0" collapsed="false">
      <c r="A9" s="21" t="s">
        <v>38</v>
      </c>
      <c r="B9" s="14" t="s">
        <v>39</v>
      </c>
      <c r="C9" s="15" t="s">
        <v>132</v>
      </c>
      <c r="D9" s="15" t="s">
        <v>34</v>
      </c>
      <c r="E9" s="15" t="s">
        <v>131</v>
      </c>
      <c r="F9" s="15" t="s">
        <v>133</v>
      </c>
      <c r="G9" s="16" t="n">
        <v>0.05</v>
      </c>
      <c r="H9" s="16" t="n">
        <v>1</v>
      </c>
      <c r="I9" s="15" t="s">
        <v>35</v>
      </c>
    </row>
    <row r="10" customFormat="false" ht="21.75" hidden="false" customHeight="true" outlineLevel="0" collapsed="false">
      <c r="A10" s="21" t="s">
        <v>40</v>
      </c>
      <c r="B10" s="14" t="s">
        <v>41</v>
      </c>
      <c r="C10" s="15" t="s">
        <v>134</v>
      </c>
      <c r="D10" s="15" t="s">
        <v>34</v>
      </c>
      <c r="E10" s="15" t="s">
        <v>133</v>
      </c>
      <c r="F10" s="15" t="s">
        <v>135</v>
      </c>
      <c r="G10" s="16" t="n">
        <v>0.06</v>
      </c>
      <c r="H10" s="16" t="n">
        <v>1</v>
      </c>
      <c r="I10" s="15" t="s">
        <v>35</v>
      </c>
    </row>
    <row r="11" customFormat="false" ht="21.75" hidden="false" customHeight="true" outlineLevel="0" collapsed="false">
      <c r="A11" s="21" t="s">
        <v>42</v>
      </c>
      <c r="B11" s="14" t="s">
        <v>43</v>
      </c>
      <c r="C11" s="15" t="s">
        <v>136</v>
      </c>
      <c r="D11" s="15" t="s">
        <v>34</v>
      </c>
      <c r="E11" s="15" t="s">
        <v>131</v>
      </c>
      <c r="F11" s="15" t="s">
        <v>137</v>
      </c>
      <c r="G11" s="16" t="n">
        <v>0.06</v>
      </c>
      <c r="H11" s="16" t="n">
        <v>0.8</v>
      </c>
      <c r="I11" s="15" t="s">
        <v>44</v>
      </c>
    </row>
    <row r="12" customFormat="false" ht="21.75" hidden="false" customHeight="true" outlineLevel="0" collapsed="false">
      <c r="A12" s="21" t="s">
        <v>45</v>
      </c>
      <c r="B12" s="14" t="s">
        <v>46</v>
      </c>
      <c r="C12" s="15" t="s">
        <v>138</v>
      </c>
      <c r="D12" s="15" t="s">
        <v>34</v>
      </c>
      <c r="E12" s="15" t="s">
        <v>131</v>
      </c>
      <c r="F12" s="15" t="s">
        <v>133</v>
      </c>
      <c r="G12" s="16" t="n">
        <v>0.02</v>
      </c>
      <c r="H12" s="16" t="n">
        <v>1</v>
      </c>
      <c r="I12" s="15" t="s">
        <v>35</v>
      </c>
    </row>
    <row r="13" customFormat="false" ht="21.75" hidden="false" customHeight="true" outlineLevel="0" collapsed="false">
      <c r="A13" s="26" t="s">
        <v>47</v>
      </c>
      <c r="B13" s="27" t="s">
        <v>48</v>
      </c>
      <c r="C13" s="28" t="s">
        <v>139</v>
      </c>
      <c r="D13" s="28" t="s">
        <v>34</v>
      </c>
      <c r="E13" s="28" t="s">
        <v>137</v>
      </c>
      <c r="F13" s="28" t="s">
        <v>140</v>
      </c>
      <c r="G13" s="29" t="n">
        <v>0.04</v>
      </c>
      <c r="H13" s="29" t="n">
        <v>0</v>
      </c>
      <c r="I13" s="28" t="s">
        <v>49</v>
      </c>
    </row>
    <row r="14" customFormat="false" ht="21.75" hidden="false" customHeight="true" outlineLevel="0" collapsed="false">
      <c r="A14" s="21" t="s">
        <v>50</v>
      </c>
      <c r="B14" s="14" t="s">
        <v>51</v>
      </c>
      <c r="C14" s="15" t="s">
        <v>141</v>
      </c>
      <c r="D14" s="15" t="s">
        <v>34</v>
      </c>
      <c r="E14" s="15" t="s">
        <v>140</v>
      </c>
      <c r="F14" s="15" t="s">
        <v>142</v>
      </c>
      <c r="G14" s="16" t="n">
        <v>0.03</v>
      </c>
      <c r="H14" s="16" t="n">
        <v>0</v>
      </c>
      <c r="I14" s="15" t="s">
        <v>52</v>
      </c>
    </row>
    <row r="15" customFormat="false" ht="21.75" hidden="false" customHeight="true" outlineLevel="0" collapsed="false">
      <c r="A15" s="21" t="s">
        <v>53</v>
      </c>
      <c r="B15" s="14" t="s">
        <v>54</v>
      </c>
      <c r="C15" s="15" t="s">
        <v>143</v>
      </c>
      <c r="D15" s="15" t="s">
        <v>34</v>
      </c>
      <c r="E15" s="15" t="s">
        <v>142</v>
      </c>
      <c r="F15" s="15" t="s">
        <v>144</v>
      </c>
      <c r="G15" s="16" t="n">
        <v>0.02</v>
      </c>
      <c r="H15" s="16" t="n">
        <v>0</v>
      </c>
      <c r="I15" s="15" t="s">
        <v>52</v>
      </c>
    </row>
    <row r="16" customFormat="false" ht="21.75" hidden="false" customHeight="true" outlineLevel="0" collapsed="false">
      <c r="A16" s="25" t="s">
        <v>55</v>
      </c>
      <c r="B16" s="25" t="s">
        <v>56</v>
      </c>
      <c r="C16" s="11"/>
      <c r="D16" s="11"/>
      <c r="E16" s="11"/>
      <c r="F16" s="11"/>
      <c r="G16" s="11"/>
      <c r="H16" s="11"/>
      <c r="I16" s="11"/>
    </row>
    <row r="17" customFormat="false" ht="21.75" hidden="false" customHeight="true" outlineLevel="0" collapsed="false">
      <c r="A17" s="21" t="s">
        <v>57</v>
      </c>
      <c r="B17" s="14" t="s">
        <v>58</v>
      </c>
      <c r="C17" s="15" t="s">
        <v>145</v>
      </c>
      <c r="D17" s="15" t="s">
        <v>59</v>
      </c>
      <c r="E17" s="15" t="s">
        <v>131</v>
      </c>
      <c r="F17" s="15" t="s">
        <v>135</v>
      </c>
      <c r="G17" s="16" t="n">
        <v>0.03</v>
      </c>
      <c r="H17" s="16" t="n">
        <v>1</v>
      </c>
      <c r="I17" s="15" t="s">
        <v>35</v>
      </c>
    </row>
    <row r="18" customFormat="false" ht="21.75" hidden="false" customHeight="true" outlineLevel="0" collapsed="false">
      <c r="A18" s="21" t="s">
        <v>60</v>
      </c>
      <c r="B18" s="14" t="s">
        <v>61</v>
      </c>
      <c r="C18" s="15" t="s">
        <v>146</v>
      </c>
      <c r="D18" s="15" t="s">
        <v>59</v>
      </c>
      <c r="E18" s="15" t="s">
        <v>135</v>
      </c>
      <c r="F18" s="15" t="s">
        <v>147</v>
      </c>
      <c r="G18" s="16" t="n">
        <v>0.05</v>
      </c>
      <c r="H18" s="16" t="n">
        <v>1</v>
      </c>
      <c r="I18" s="15" t="s">
        <v>35</v>
      </c>
    </row>
    <row r="19" customFormat="false" ht="21.75" hidden="false" customHeight="true" outlineLevel="0" collapsed="false">
      <c r="A19" s="21" t="s">
        <v>62</v>
      </c>
      <c r="B19" s="14" t="s">
        <v>63</v>
      </c>
      <c r="C19" s="15" t="s">
        <v>132</v>
      </c>
      <c r="D19" s="15" t="s">
        <v>59</v>
      </c>
      <c r="E19" s="15" t="s">
        <v>147</v>
      </c>
      <c r="F19" s="15" t="s">
        <v>142</v>
      </c>
      <c r="G19" s="16" t="n">
        <v>0.04</v>
      </c>
      <c r="H19" s="16" t="n">
        <v>1</v>
      </c>
      <c r="I19" s="15" t="s">
        <v>35</v>
      </c>
    </row>
    <row r="20" customFormat="false" ht="21.75" hidden="false" customHeight="true" outlineLevel="0" collapsed="false">
      <c r="A20" s="21" t="s">
        <v>64</v>
      </c>
      <c r="B20" s="14" t="s">
        <v>65</v>
      </c>
      <c r="C20" s="15" t="s">
        <v>134</v>
      </c>
      <c r="D20" s="15" t="s">
        <v>59</v>
      </c>
      <c r="E20" s="15" t="s">
        <v>142</v>
      </c>
      <c r="F20" s="15" t="s">
        <v>148</v>
      </c>
      <c r="G20" s="16" t="n">
        <v>0.04</v>
      </c>
      <c r="H20" s="16" t="n">
        <v>1</v>
      </c>
      <c r="I20" s="15" t="s">
        <v>35</v>
      </c>
    </row>
    <row r="21" customFormat="false" ht="21.75" hidden="false" customHeight="true" outlineLevel="0" collapsed="false">
      <c r="A21" s="21" t="s">
        <v>66</v>
      </c>
      <c r="B21" s="14" t="s">
        <v>67</v>
      </c>
      <c r="C21" s="15" t="s">
        <v>136</v>
      </c>
      <c r="D21" s="15" t="s">
        <v>59</v>
      </c>
      <c r="E21" s="15" t="s">
        <v>148</v>
      </c>
      <c r="F21" s="15" t="s">
        <v>149</v>
      </c>
      <c r="G21" s="16" t="n">
        <v>0.03</v>
      </c>
      <c r="H21" s="16" t="n">
        <v>1</v>
      </c>
      <c r="I21" s="15" t="s">
        <v>35</v>
      </c>
    </row>
    <row r="22" customFormat="false" ht="21.75" hidden="false" customHeight="true" outlineLevel="0" collapsed="false">
      <c r="A22" s="21" t="s">
        <v>68</v>
      </c>
      <c r="B22" s="14" t="s">
        <v>69</v>
      </c>
      <c r="C22" s="15" t="s">
        <v>150</v>
      </c>
      <c r="D22" s="15" t="s">
        <v>59</v>
      </c>
      <c r="E22" s="15" t="s">
        <v>149</v>
      </c>
      <c r="F22" s="15" t="s">
        <v>151</v>
      </c>
      <c r="G22" s="16" t="n">
        <v>0.03</v>
      </c>
      <c r="H22" s="16" t="n">
        <v>0.2</v>
      </c>
      <c r="I22" s="15" t="s">
        <v>44</v>
      </c>
    </row>
    <row r="23" customFormat="false" ht="21.75" hidden="false" customHeight="true" outlineLevel="0" collapsed="false">
      <c r="A23" s="25" t="s">
        <v>70</v>
      </c>
      <c r="B23" s="25" t="s">
        <v>71</v>
      </c>
      <c r="C23" s="11"/>
      <c r="D23" s="11"/>
      <c r="E23" s="11"/>
      <c r="F23" s="11"/>
      <c r="G23" s="11"/>
      <c r="H23" s="11"/>
      <c r="I23" s="11"/>
    </row>
    <row r="24" customFormat="false" ht="21.75" hidden="false" customHeight="true" outlineLevel="0" collapsed="false">
      <c r="A24" s="21" t="s">
        <v>72</v>
      </c>
      <c r="B24" s="14" t="s">
        <v>73</v>
      </c>
      <c r="C24" s="15" t="s">
        <v>152</v>
      </c>
      <c r="D24" s="15" t="s">
        <v>59</v>
      </c>
      <c r="E24" s="15" t="s">
        <v>148</v>
      </c>
      <c r="F24" s="15" t="s">
        <v>149</v>
      </c>
      <c r="G24" s="16" t="n">
        <v>0.05</v>
      </c>
      <c r="H24" s="16" t="n">
        <v>0.6</v>
      </c>
      <c r="I24" s="15" t="s">
        <v>44</v>
      </c>
    </row>
    <row r="25" customFormat="false" ht="21.75" hidden="false" customHeight="true" outlineLevel="0" collapsed="false">
      <c r="A25" s="21" t="s">
        <v>74</v>
      </c>
      <c r="B25" s="14" t="s">
        <v>75</v>
      </c>
      <c r="C25" s="15" t="s">
        <v>153</v>
      </c>
      <c r="D25" s="15" t="s">
        <v>59</v>
      </c>
      <c r="E25" s="15" t="s">
        <v>149</v>
      </c>
      <c r="F25" s="15" t="s">
        <v>154</v>
      </c>
      <c r="G25" s="16" t="n">
        <v>0.05</v>
      </c>
      <c r="H25" s="16" t="n">
        <v>0</v>
      </c>
      <c r="I25" s="15" t="s">
        <v>52</v>
      </c>
    </row>
    <row r="26" customFormat="false" ht="21.75" hidden="false" customHeight="true" outlineLevel="0" collapsed="false">
      <c r="A26" s="21" t="s">
        <v>76</v>
      </c>
      <c r="B26" s="14" t="s">
        <v>77</v>
      </c>
      <c r="C26" s="15" t="s">
        <v>155</v>
      </c>
      <c r="D26" s="15" t="s">
        <v>34</v>
      </c>
      <c r="E26" s="15" t="s">
        <v>151</v>
      </c>
      <c r="F26" s="15" t="s">
        <v>154</v>
      </c>
      <c r="G26" s="16" t="n">
        <v>0.03</v>
      </c>
      <c r="H26" s="16" t="n">
        <v>0</v>
      </c>
      <c r="I26" s="15" t="s">
        <v>52</v>
      </c>
    </row>
    <row r="27" customFormat="false" ht="21.75" hidden="false" customHeight="true" outlineLevel="0" collapsed="false">
      <c r="A27" s="21" t="s">
        <v>78</v>
      </c>
      <c r="B27" s="14" t="s">
        <v>79</v>
      </c>
      <c r="C27" s="15" t="s">
        <v>156</v>
      </c>
      <c r="D27" s="15" t="s">
        <v>34</v>
      </c>
      <c r="E27" s="15" t="s">
        <v>154</v>
      </c>
      <c r="F27" s="15" t="s">
        <v>157</v>
      </c>
      <c r="G27" s="16" t="n">
        <v>0.04</v>
      </c>
      <c r="H27" s="16" t="n">
        <v>0</v>
      </c>
      <c r="I27" s="15" t="s">
        <v>52</v>
      </c>
    </row>
    <row r="28" customFormat="false" ht="21.75" hidden="false" customHeight="true" outlineLevel="0" collapsed="false">
      <c r="A28" s="26" t="s">
        <v>80</v>
      </c>
      <c r="B28" s="27" t="s">
        <v>81</v>
      </c>
      <c r="C28" s="28" t="s">
        <v>158</v>
      </c>
      <c r="D28" s="28" t="s">
        <v>59</v>
      </c>
      <c r="E28" s="28" t="s">
        <v>151</v>
      </c>
      <c r="F28" s="28" t="s">
        <v>159</v>
      </c>
      <c r="G28" s="29" t="n">
        <v>0.07</v>
      </c>
      <c r="H28" s="29" t="n">
        <v>0</v>
      </c>
      <c r="I28" s="28" t="s">
        <v>49</v>
      </c>
    </row>
    <row r="29" customFormat="false" ht="21.75" hidden="false" customHeight="true" outlineLevel="0" collapsed="false">
      <c r="A29" s="25" t="s">
        <v>82</v>
      </c>
      <c r="B29" s="25" t="s">
        <v>83</v>
      </c>
      <c r="C29" s="11"/>
      <c r="D29" s="11"/>
      <c r="E29" s="11"/>
      <c r="F29" s="11"/>
      <c r="G29" s="11"/>
      <c r="H29" s="11"/>
      <c r="I29" s="11"/>
    </row>
    <row r="30" customFormat="false" ht="21.75" hidden="false" customHeight="true" outlineLevel="0" collapsed="false">
      <c r="A30" s="21" t="s">
        <v>84</v>
      </c>
      <c r="B30" s="14" t="s">
        <v>85</v>
      </c>
      <c r="C30" s="15" t="s">
        <v>160</v>
      </c>
      <c r="D30" s="15" t="s">
        <v>34</v>
      </c>
      <c r="E30" s="15" t="s">
        <v>137</v>
      </c>
      <c r="F30" s="15" t="s">
        <v>147</v>
      </c>
      <c r="G30" s="16" t="n">
        <v>0.02</v>
      </c>
      <c r="H30" s="16" t="n">
        <v>0.8</v>
      </c>
      <c r="I30" s="15" t="s">
        <v>44</v>
      </c>
    </row>
    <row r="31" customFormat="false" ht="21.75" hidden="false" customHeight="true" outlineLevel="0" collapsed="false">
      <c r="A31" s="21" t="s">
        <v>86</v>
      </c>
      <c r="B31" s="14" t="s">
        <v>87</v>
      </c>
      <c r="C31" s="15" t="s">
        <v>161</v>
      </c>
      <c r="D31" s="15" t="s">
        <v>34</v>
      </c>
      <c r="E31" s="15" t="s">
        <v>144</v>
      </c>
      <c r="F31" s="15" t="s">
        <v>148</v>
      </c>
      <c r="G31" s="16" t="n">
        <v>0.01</v>
      </c>
      <c r="H31" s="16" t="n">
        <v>0</v>
      </c>
      <c r="I31" s="15" t="s">
        <v>52</v>
      </c>
    </row>
    <row r="32" customFormat="false" ht="21.75" hidden="false" customHeight="true" outlineLevel="0" collapsed="false">
      <c r="A32" s="21" t="s">
        <v>88</v>
      </c>
      <c r="B32" s="14" t="s">
        <v>89</v>
      </c>
      <c r="C32" s="15" t="s">
        <v>162</v>
      </c>
      <c r="D32" s="15" t="s">
        <v>34</v>
      </c>
      <c r="E32" s="15" t="s">
        <v>144</v>
      </c>
      <c r="F32" s="15" t="s">
        <v>148</v>
      </c>
      <c r="G32" s="16" t="n">
        <v>0.01</v>
      </c>
      <c r="H32" s="16" t="n">
        <v>0</v>
      </c>
      <c r="I32" s="15" t="s">
        <v>52</v>
      </c>
    </row>
    <row r="33" customFormat="false" ht="21.75" hidden="false" customHeight="true" outlineLevel="0" collapsed="false">
      <c r="A33" s="21" t="s">
        <v>90</v>
      </c>
      <c r="B33" s="14" t="s">
        <v>91</v>
      </c>
      <c r="C33" s="15" t="s">
        <v>163</v>
      </c>
      <c r="D33" s="15" t="s">
        <v>34</v>
      </c>
      <c r="E33" s="15" t="s">
        <v>140</v>
      </c>
      <c r="F33" s="15" t="s">
        <v>144</v>
      </c>
      <c r="G33" s="16" t="n">
        <v>0.02</v>
      </c>
      <c r="H33" s="16" t="n">
        <v>0</v>
      </c>
      <c r="I33" s="15" t="s">
        <v>52</v>
      </c>
    </row>
    <row r="34" customFormat="false" ht="21.75" hidden="false" customHeight="true" outlineLevel="0" collapsed="false">
      <c r="A34" s="26" t="s">
        <v>92</v>
      </c>
      <c r="B34" s="27" t="s">
        <v>93</v>
      </c>
      <c r="C34" s="28" t="s">
        <v>163</v>
      </c>
      <c r="D34" s="28" t="s">
        <v>34</v>
      </c>
      <c r="E34" s="28" t="s">
        <v>149</v>
      </c>
      <c r="F34" s="28" t="s">
        <v>151</v>
      </c>
      <c r="G34" s="29" t="n">
        <v>0.01</v>
      </c>
      <c r="H34" s="29" t="n">
        <v>0</v>
      </c>
      <c r="I34" s="28" t="s">
        <v>49</v>
      </c>
    </row>
    <row r="35" customFormat="false" ht="21.75" hidden="false" customHeight="true" outlineLevel="0" collapsed="false">
      <c r="A35" s="25" t="s">
        <v>94</v>
      </c>
      <c r="B35" s="25" t="s">
        <v>95</v>
      </c>
      <c r="C35" s="11"/>
      <c r="D35" s="11"/>
      <c r="E35" s="11"/>
      <c r="F35" s="11"/>
      <c r="G35" s="11"/>
      <c r="H35" s="11"/>
      <c r="I35" s="11"/>
    </row>
    <row r="36" customFormat="false" ht="21.75" hidden="false" customHeight="true" outlineLevel="0" collapsed="false">
      <c r="A36" s="21" t="s">
        <v>96</v>
      </c>
      <c r="B36" s="14" t="s">
        <v>97</v>
      </c>
      <c r="C36" s="15" t="s">
        <v>164</v>
      </c>
      <c r="D36" s="15" t="s">
        <v>34</v>
      </c>
      <c r="E36" s="15" t="s">
        <v>129</v>
      </c>
      <c r="F36" s="15" t="s">
        <v>165</v>
      </c>
      <c r="G36" s="16" t="n">
        <v>0.02</v>
      </c>
      <c r="H36" s="16" t="n">
        <v>0.45</v>
      </c>
      <c r="I36" s="15" t="s">
        <v>44</v>
      </c>
    </row>
    <row r="37" customFormat="false" ht="21.75" hidden="false" customHeight="true" outlineLevel="0" collapsed="false">
      <c r="A37" s="21" t="s">
        <v>98</v>
      </c>
      <c r="B37" s="14" t="s">
        <v>99</v>
      </c>
      <c r="C37" s="15" t="s">
        <v>164</v>
      </c>
      <c r="D37" s="15" t="s">
        <v>34</v>
      </c>
      <c r="E37" s="15" t="s">
        <v>131</v>
      </c>
      <c r="F37" s="15" t="s">
        <v>133</v>
      </c>
      <c r="G37" s="16" t="n">
        <v>0.01</v>
      </c>
      <c r="H37" s="16" t="n">
        <v>0</v>
      </c>
      <c r="I37" s="15" t="s">
        <v>52</v>
      </c>
    </row>
    <row r="38" customFormat="false" ht="21.75" hidden="false" customHeight="true" outlineLevel="0" collapsed="false">
      <c r="A38" s="21" t="s">
        <v>100</v>
      </c>
      <c r="B38" s="14" t="s">
        <v>101</v>
      </c>
      <c r="C38" s="15" t="s">
        <v>164</v>
      </c>
      <c r="D38" s="15" t="s">
        <v>59</v>
      </c>
      <c r="E38" s="15" t="s">
        <v>154</v>
      </c>
      <c r="F38" s="15" t="s">
        <v>157</v>
      </c>
      <c r="G38" s="16" t="n">
        <v>0.02</v>
      </c>
      <c r="H38" s="16" t="n">
        <v>0</v>
      </c>
      <c r="I38" s="15" t="s">
        <v>52</v>
      </c>
    </row>
    <row r="39" customFormat="false" ht="21.75" hidden="false" customHeight="true" outlineLevel="0" collapsed="false">
      <c r="A39" s="21" t="s">
        <v>102</v>
      </c>
      <c r="B39" s="14" t="s">
        <v>103</v>
      </c>
      <c r="C39" s="15" t="s">
        <v>164</v>
      </c>
      <c r="D39" s="15" t="s">
        <v>104</v>
      </c>
      <c r="E39" s="15" t="s">
        <v>157</v>
      </c>
      <c r="F39" s="15" t="s">
        <v>159</v>
      </c>
      <c r="G39" s="16" t="n">
        <v>0.02</v>
      </c>
      <c r="H39" s="16" t="n">
        <v>0</v>
      </c>
      <c r="I39" s="15" t="s">
        <v>52</v>
      </c>
    </row>
    <row r="40" customFormat="false" ht="21.75" hidden="false" customHeight="true" outlineLevel="0" collapsed="false">
      <c r="A40" s="21" t="s">
        <v>105</v>
      </c>
      <c r="B40" s="14" t="s">
        <v>106</v>
      </c>
      <c r="C40" s="15" t="s">
        <v>164</v>
      </c>
      <c r="D40" s="15" t="s">
        <v>34</v>
      </c>
      <c r="E40" s="15" t="s">
        <v>157</v>
      </c>
      <c r="F40" s="15" t="s">
        <v>165</v>
      </c>
      <c r="G40" s="16" t="n">
        <v>0.01</v>
      </c>
      <c r="H40" s="16" t="n">
        <v>0</v>
      </c>
      <c r="I40" s="15" t="s">
        <v>52</v>
      </c>
    </row>
    <row r="41" customFormat="false" ht="21.75" hidden="false" customHeight="true" outlineLevel="0" collapsed="false">
      <c r="A41" s="21" t="s">
        <v>107</v>
      </c>
      <c r="B41" s="14" t="s">
        <v>108</v>
      </c>
      <c r="C41" s="15" t="s">
        <v>164</v>
      </c>
      <c r="D41" s="15" t="s">
        <v>104</v>
      </c>
      <c r="E41" s="15" t="s">
        <v>159</v>
      </c>
      <c r="F41" s="15" t="s">
        <v>166</v>
      </c>
      <c r="G41" s="16" t="n">
        <v>0.01</v>
      </c>
      <c r="H41" s="16" t="n">
        <v>0</v>
      </c>
      <c r="I41" s="15" t="s">
        <v>52</v>
      </c>
    </row>
    <row r="42" customFormat="false" ht="21.75" hidden="false" customHeight="true" outlineLevel="0" collapsed="false">
      <c r="A42" s="21" t="s">
        <v>109</v>
      </c>
      <c r="B42" s="14" t="s">
        <v>110</v>
      </c>
      <c r="C42" s="15" t="s">
        <v>164</v>
      </c>
      <c r="D42" s="15" t="s">
        <v>104</v>
      </c>
      <c r="E42" s="15" t="s">
        <v>166</v>
      </c>
      <c r="F42" s="15" t="s">
        <v>166</v>
      </c>
      <c r="G42" s="16" t="n">
        <v>0.01</v>
      </c>
      <c r="H42" s="16" t="n">
        <v>0</v>
      </c>
      <c r="I42" s="15" t="s">
        <v>52</v>
      </c>
    </row>
    <row r="43" customFormat="false" ht="21.75" hidden="false" customHeight="true" outlineLevel="0" collapsed="false">
      <c r="A43" s="26" t="s">
        <v>111</v>
      </c>
      <c r="B43" s="27" t="s">
        <v>112</v>
      </c>
      <c r="C43" s="28" t="s">
        <v>164</v>
      </c>
      <c r="D43" s="28" t="s">
        <v>104</v>
      </c>
      <c r="E43" s="28" t="s">
        <v>167</v>
      </c>
      <c r="F43" s="28" t="s">
        <v>168</v>
      </c>
      <c r="G43" s="29" t="n">
        <v>0.01</v>
      </c>
      <c r="H43" s="29" t="n">
        <v>0</v>
      </c>
      <c r="I43" s="28" t="s">
        <v>49</v>
      </c>
    </row>
    <row r="45" customFormat="false" ht="15" hidden="false" customHeight="true" outlineLevel="0" collapsed="false">
      <c r="B45" s="30" t="s">
        <v>169</v>
      </c>
      <c r="G45" s="31" t="n">
        <f aca="false">SUM(G7:G43)</f>
        <v>1</v>
      </c>
      <c r="H45" s="32" t="n">
        <f aca="false">SUMPRODUCT(G7:G43,H7:H43)</f>
        <v>0.509</v>
      </c>
    </row>
    <row r="46" customFormat="false" ht="15" hidden="false" customHeight="true" outlineLevel="0" collapsed="false">
      <c r="B46" s="21" t="s">
        <v>170</v>
      </c>
      <c r="G46" s="21" t="str">
        <f aca="false">IF(ROUND(G45*100,2)=100,"OK","ERROR - weights total "&amp;TEXT(G45,"0.0%"))</f>
        <v>OK</v>
      </c>
    </row>
    <row r="48" customFormat="false" ht="15" hidden="false" customHeight="true" outlineLevel="0" collapsed="false">
      <c r="B48" s="21" t="s">
        <v>171</v>
      </c>
    </row>
    <row r="49" customFormat="false" ht="15" hidden="false" customHeight="true" outlineLevel="0" collapsed="false">
      <c r="B49" s="21" t="s">
        <v>172</v>
      </c>
    </row>
  </sheetData>
  <mergeCells count="3">
    <mergeCell ref="A1:I1"/>
    <mergeCell ref="A2:I2"/>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4"/>
    <col collapsed="false" customWidth="true" hidden="false" outlineLevel="0" max="4" min="3" style="1" width="16"/>
    <col collapsed="false" customWidth="true" hidden="false" outlineLevel="0" max="5" min="5" style="1" width="11"/>
    <col collapsed="false" customWidth="true" hidden="false" outlineLevel="0" max="6" min="6" style="1" width="17"/>
    <col collapsed="false" customWidth="true" hidden="false" outlineLevel="0" max="7" min="7" style="1" width="46"/>
    <col collapsed="false" customWidth="true" hidden="false" outlineLevel="0" max="8" min="8" style="1" width="52"/>
  </cols>
  <sheetData>
    <row r="1" customFormat="false" ht="18" hidden="false" customHeight="true" outlineLevel="0" collapsed="false">
      <c r="A1" s="2" t="s">
        <v>173</v>
      </c>
      <c r="B1" s="2"/>
      <c r="C1" s="2"/>
      <c r="D1" s="2"/>
      <c r="E1" s="2"/>
      <c r="F1" s="2"/>
      <c r="G1" s="2"/>
      <c r="H1" s="2"/>
    </row>
    <row r="3" customFormat="false" ht="30" hidden="false" customHeight="true" outlineLevel="0" collapsed="false">
      <c r="A3" s="6" t="s">
        <v>23</v>
      </c>
      <c r="B3" s="6" t="s">
        <v>24</v>
      </c>
      <c r="C3" s="6" t="s">
        <v>174</v>
      </c>
      <c r="D3" s="6" t="s">
        <v>175</v>
      </c>
      <c r="E3" s="6" t="s">
        <v>176</v>
      </c>
      <c r="F3" s="6" t="s">
        <v>177</v>
      </c>
      <c r="G3" s="6" t="s">
        <v>178</v>
      </c>
      <c r="H3" s="6" t="s">
        <v>179</v>
      </c>
    </row>
    <row r="4" customFormat="false" ht="30" hidden="false" customHeight="true" outlineLevel="0" collapsed="false">
      <c r="A4" s="21" t="s">
        <v>32</v>
      </c>
      <c r="B4" s="14" t="s">
        <v>180</v>
      </c>
      <c r="C4" s="16" t="n">
        <v>1</v>
      </c>
      <c r="D4" s="16" t="n">
        <v>1</v>
      </c>
      <c r="E4" s="16" t="n">
        <f aca="false">D4-C4</f>
        <v>0</v>
      </c>
      <c r="F4" s="15" t="s">
        <v>181</v>
      </c>
      <c r="G4" s="14" t="s">
        <v>182</v>
      </c>
      <c r="H4" s="14" t="s">
        <v>183</v>
      </c>
    </row>
    <row r="5" customFormat="false" ht="30" hidden="false" customHeight="true" outlineLevel="0" collapsed="false">
      <c r="A5" s="21" t="s">
        <v>36</v>
      </c>
      <c r="B5" s="14" t="s">
        <v>184</v>
      </c>
      <c r="C5" s="16" t="n">
        <v>1</v>
      </c>
      <c r="D5" s="16" t="n">
        <v>1</v>
      </c>
      <c r="E5" s="16" t="n">
        <f aca="false">D5-C5</f>
        <v>0</v>
      </c>
      <c r="F5" s="33" t="s">
        <v>185</v>
      </c>
      <c r="G5" s="14" t="s">
        <v>186</v>
      </c>
      <c r="H5" s="14" t="s">
        <v>187</v>
      </c>
    </row>
    <row r="6" customFormat="false" ht="30" hidden="false" customHeight="true" outlineLevel="0" collapsed="false">
      <c r="A6" s="21" t="s">
        <v>38</v>
      </c>
      <c r="B6" s="14" t="s">
        <v>188</v>
      </c>
      <c r="C6" s="16" t="n">
        <v>1</v>
      </c>
      <c r="D6" s="16" t="n">
        <v>1</v>
      </c>
      <c r="E6" s="16" t="n">
        <f aca="false">D6-C6</f>
        <v>0</v>
      </c>
      <c r="F6" s="33" t="s">
        <v>185</v>
      </c>
      <c r="G6" s="14" t="s">
        <v>189</v>
      </c>
      <c r="H6" s="14" t="s">
        <v>190</v>
      </c>
    </row>
    <row r="7" customFormat="false" ht="30" hidden="false" customHeight="true" outlineLevel="0" collapsed="false">
      <c r="A7" s="21" t="s">
        <v>40</v>
      </c>
      <c r="B7" s="14" t="s">
        <v>191</v>
      </c>
      <c r="C7" s="16" t="n">
        <v>1</v>
      </c>
      <c r="D7" s="16" t="n">
        <v>1</v>
      </c>
      <c r="E7" s="16" t="n">
        <f aca="false">D7-C7</f>
        <v>0</v>
      </c>
      <c r="F7" s="33" t="s">
        <v>185</v>
      </c>
      <c r="G7" s="14" t="s">
        <v>192</v>
      </c>
      <c r="H7" s="14" t="s">
        <v>193</v>
      </c>
    </row>
    <row r="8" customFormat="false" ht="30" hidden="false" customHeight="true" outlineLevel="0" collapsed="false">
      <c r="A8" s="21" t="s">
        <v>42</v>
      </c>
      <c r="B8" s="14" t="s">
        <v>194</v>
      </c>
      <c r="C8" s="16" t="n">
        <v>0.05</v>
      </c>
      <c r="D8" s="16" t="n">
        <v>0.8</v>
      </c>
      <c r="E8" s="16" t="n">
        <f aca="false">D8-C8</f>
        <v>0.75</v>
      </c>
      <c r="F8" s="15" t="s">
        <v>185</v>
      </c>
      <c r="G8" s="14" t="s">
        <v>195</v>
      </c>
      <c r="H8" s="14" t="s">
        <v>196</v>
      </c>
    </row>
    <row r="9" customFormat="false" ht="30" hidden="false" customHeight="true" outlineLevel="0" collapsed="false">
      <c r="A9" s="21" t="s">
        <v>45</v>
      </c>
      <c r="B9" s="14" t="s">
        <v>197</v>
      </c>
      <c r="C9" s="16" t="n">
        <v>0</v>
      </c>
      <c r="D9" s="16" t="n">
        <v>1</v>
      </c>
      <c r="E9" s="16" t="n">
        <f aca="false">D9-C9</f>
        <v>1</v>
      </c>
      <c r="F9" s="15" t="s">
        <v>185</v>
      </c>
      <c r="G9" s="14" t="s">
        <v>198</v>
      </c>
      <c r="H9" s="14" t="s">
        <v>199</v>
      </c>
    </row>
    <row r="10" customFormat="false" ht="30" hidden="false" customHeight="true" outlineLevel="0" collapsed="false">
      <c r="A10" s="21" t="s">
        <v>47</v>
      </c>
      <c r="B10" s="14" t="s">
        <v>200</v>
      </c>
      <c r="C10" s="16" t="n">
        <v>0</v>
      </c>
      <c r="D10" s="16" t="n">
        <v>0</v>
      </c>
      <c r="E10" s="16" t="n">
        <f aca="false">D10-C10</f>
        <v>0</v>
      </c>
      <c r="F10" s="28" t="s">
        <v>49</v>
      </c>
      <c r="G10" s="14" t="s">
        <v>164</v>
      </c>
      <c r="H10" s="14" t="s">
        <v>201</v>
      </c>
    </row>
    <row r="11" customFormat="false" ht="30" hidden="false" customHeight="true" outlineLevel="0" collapsed="false">
      <c r="A11" s="21" t="s">
        <v>57</v>
      </c>
      <c r="B11" s="14" t="s">
        <v>202</v>
      </c>
      <c r="C11" s="16" t="n">
        <v>0</v>
      </c>
      <c r="D11" s="16" t="n">
        <v>1</v>
      </c>
      <c r="E11" s="16" t="n">
        <f aca="false">D11-C11</f>
        <v>1</v>
      </c>
      <c r="F11" s="15" t="s">
        <v>185</v>
      </c>
      <c r="G11" s="14" t="s">
        <v>203</v>
      </c>
      <c r="H11" s="14" t="s">
        <v>204</v>
      </c>
    </row>
    <row r="12" customFormat="false" ht="30" hidden="false" customHeight="true" outlineLevel="0" collapsed="false">
      <c r="A12" s="21" t="s">
        <v>60</v>
      </c>
      <c r="B12" s="14" t="s">
        <v>61</v>
      </c>
      <c r="C12" s="16" t="n">
        <v>0</v>
      </c>
      <c r="D12" s="16" t="n">
        <v>1</v>
      </c>
      <c r="E12" s="16" t="n">
        <f aca="false">D12-C12</f>
        <v>1</v>
      </c>
      <c r="F12" s="15" t="s">
        <v>185</v>
      </c>
      <c r="G12" s="14" t="s">
        <v>205</v>
      </c>
      <c r="H12" s="14" t="s">
        <v>206</v>
      </c>
    </row>
    <row r="13" customFormat="false" ht="30" hidden="false" customHeight="true" outlineLevel="0" collapsed="false">
      <c r="A13" s="21" t="s">
        <v>62</v>
      </c>
      <c r="B13" s="14" t="s">
        <v>63</v>
      </c>
      <c r="C13" s="16" t="n">
        <v>0</v>
      </c>
      <c r="D13" s="16" t="n">
        <v>1</v>
      </c>
      <c r="E13" s="16" t="n">
        <f aca="false">D13-C13</f>
        <v>1</v>
      </c>
      <c r="F13" s="15" t="s">
        <v>185</v>
      </c>
      <c r="G13" s="14" t="s">
        <v>207</v>
      </c>
      <c r="H13" s="14" t="s">
        <v>208</v>
      </c>
    </row>
    <row r="14" customFormat="false" ht="30" hidden="false" customHeight="true" outlineLevel="0" collapsed="false">
      <c r="A14" s="21" t="s">
        <v>64</v>
      </c>
      <c r="B14" s="14" t="s">
        <v>65</v>
      </c>
      <c r="C14" s="16" t="n">
        <v>0</v>
      </c>
      <c r="D14" s="16" t="n">
        <v>1</v>
      </c>
      <c r="E14" s="16" t="n">
        <f aca="false">D14-C14</f>
        <v>1</v>
      </c>
      <c r="F14" s="15" t="s">
        <v>185</v>
      </c>
      <c r="G14" s="14" t="s">
        <v>209</v>
      </c>
      <c r="H14" s="14" t="s">
        <v>210</v>
      </c>
    </row>
    <row r="15" customFormat="false" ht="15" hidden="false" customHeight="true" outlineLevel="0" collapsed="false">
      <c r="A15" s="21" t="s">
        <v>66</v>
      </c>
      <c r="B15" s="14" t="s">
        <v>67</v>
      </c>
      <c r="C15" s="16" t="n">
        <v>0</v>
      </c>
      <c r="D15" s="16" t="n">
        <v>1</v>
      </c>
      <c r="E15" s="16" t="n">
        <f aca="false">D15-C15</f>
        <v>1</v>
      </c>
      <c r="F15" s="33" t="s">
        <v>185</v>
      </c>
      <c r="G15" s="14" t="s">
        <v>211</v>
      </c>
      <c r="H15" s="14" t="s">
        <v>212</v>
      </c>
    </row>
    <row r="16" customFormat="false" ht="15" hidden="false" customHeight="true" outlineLevel="0" collapsed="false">
      <c r="A16" s="21" t="s">
        <v>68</v>
      </c>
      <c r="B16" s="14" t="s">
        <v>69</v>
      </c>
      <c r="C16" s="16" t="n">
        <v>0</v>
      </c>
      <c r="D16" s="16" t="n">
        <v>0.2</v>
      </c>
      <c r="E16" s="16" t="n">
        <f aca="false">D16-C16</f>
        <v>0.2</v>
      </c>
      <c r="F16" s="15" t="s">
        <v>185</v>
      </c>
      <c r="G16" s="14" t="s">
        <v>213</v>
      </c>
      <c r="H16" s="14" t="s">
        <v>214</v>
      </c>
    </row>
    <row r="17" customFormat="false" ht="21.75" hidden="false" customHeight="true" outlineLevel="0" collapsed="false">
      <c r="A17" s="21" t="s">
        <v>72</v>
      </c>
      <c r="B17" s="14" t="s">
        <v>215</v>
      </c>
      <c r="C17" s="16" t="n">
        <v>0</v>
      </c>
      <c r="D17" s="16" t="n">
        <v>0.6</v>
      </c>
      <c r="E17" s="16" t="n">
        <f aca="false">D17-C17</f>
        <v>0.6</v>
      </c>
      <c r="F17" s="33" t="s">
        <v>185</v>
      </c>
      <c r="G17" s="14" t="s">
        <v>216</v>
      </c>
      <c r="H17" s="14" t="s">
        <v>217</v>
      </c>
    </row>
    <row r="18" customFormat="false" ht="15" hidden="false" customHeight="true" outlineLevel="0" collapsed="false">
      <c r="A18" s="21" t="s">
        <v>80</v>
      </c>
      <c r="B18" s="14" t="s">
        <v>218</v>
      </c>
      <c r="C18" s="16" t="n">
        <v>0</v>
      </c>
      <c r="D18" s="16" t="n">
        <v>0</v>
      </c>
      <c r="E18" s="16" t="n">
        <f aca="false">D18-C18</f>
        <v>0</v>
      </c>
      <c r="F18" s="28" t="s">
        <v>49</v>
      </c>
      <c r="G18" s="14" t="s">
        <v>164</v>
      </c>
      <c r="H18" s="14" t="s">
        <v>219</v>
      </c>
    </row>
    <row r="19" customFormat="false" ht="15" hidden="false" customHeight="true" outlineLevel="0" collapsed="false">
      <c r="A19" s="21" t="s">
        <v>84</v>
      </c>
      <c r="B19" s="14" t="s">
        <v>220</v>
      </c>
      <c r="C19" s="16" t="n">
        <v>0</v>
      </c>
      <c r="D19" s="16" t="n">
        <v>0.8</v>
      </c>
      <c r="E19" s="16" t="n">
        <f aca="false">D19-C19</f>
        <v>0.8</v>
      </c>
      <c r="F19" s="34" t="s">
        <v>44</v>
      </c>
      <c r="G19" s="14" t="s">
        <v>221</v>
      </c>
      <c r="H19" s="14" t="s">
        <v>222</v>
      </c>
    </row>
    <row r="20" customFormat="false" ht="15" hidden="false" customHeight="true" outlineLevel="0" collapsed="false">
      <c r="A20" s="21" t="s">
        <v>90</v>
      </c>
      <c r="B20" s="14" t="s">
        <v>223</v>
      </c>
      <c r="C20" s="16" t="n">
        <v>0</v>
      </c>
      <c r="D20" s="16" t="n">
        <v>0</v>
      </c>
      <c r="E20" s="16" t="n">
        <f aca="false">D20-C20</f>
        <v>0</v>
      </c>
      <c r="F20" s="15" t="s">
        <v>181</v>
      </c>
      <c r="G20" s="14" t="s">
        <v>164</v>
      </c>
      <c r="H20" s="14" t="s">
        <v>224</v>
      </c>
    </row>
    <row r="21" customFormat="false" ht="15" hidden="false" customHeight="true" outlineLevel="0" collapsed="false">
      <c r="A21" s="21" t="s">
        <v>92</v>
      </c>
      <c r="B21" s="14" t="s">
        <v>225</v>
      </c>
      <c r="C21" s="16" t="n">
        <v>0</v>
      </c>
      <c r="D21" s="16" t="n">
        <v>0</v>
      </c>
      <c r="E21" s="16" t="n">
        <f aca="false">D21-C21</f>
        <v>0</v>
      </c>
      <c r="F21" s="28" t="s">
        <v>49</v>
      </c>
      <c r="G21" s="14" t="s">
        <v>164</v>
      </c>
      <c r="H21" s="14" t="s">
        <v>226</v>
      </c>
    </row>
    <row r="22" customFormat="false" ht="15" hidden="false" customHeight="true" outlineLevel="0" collapsed="false">
      <c r="A22" s="21" t="s">
        <v>96</v>
      </c>
      <c r="B22" s="14" t="s">
        <v>227</v>
      </c>
      <c r="C22" s="16" t="n">
        <v>0.45</v>
      </c>
      <c r="D22" s="16" t="n">
        <v>0.45</v>
      </c>
      <c r="E22" s="16" t="n">
        <f aca="false">D22-C22</f>
        <v>0</v>
      </c>
      <c r="F22" s="33" t="s">
        <v>185</v>
      </c>
      <c r="G22" s="14" t="s">
        <v>228</v>
      </c>
      <c r="H22" s="14" t="s">
        <v>229</v>
      </c>
    </row>
    <row r="23" customFormat="false" ht="15" hidden="false" customHeight="true" outlineLevel="0" collapsed="false"/>
    <row r="24" customFormat="false" ht="15" hidden="false" customHeight="true" outlineLevel="0" collapsed="false">
      <c r="B24" s="30" t="s">
        <v>230</v>
      </c>
      <c r="D24" s="32" t="n">
        <f aca="false">'2. Schedule Baseline'!H45</f>
        <v>0.509</v>
      </c>
    </row>
    <row r="25" customFormat="false" ht="15" hidden="false" customHeight="true" outlineLevel="0" collapsed="false">
      <c r="B25" s="21" t="s">
        <v>231</v>
      </c>
    </row>
    <row r="26" customFormat="false" ht="15" hidden="false" customHeight="true" outlineLevel="0" collapsed="false">
      <c r="B26" s="21" t="s">
        <v>232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6"/>
    <col collapsed="false" customWidth="true" hidden="false" outlineLevel="0" max="3" min="3" style="1" width="14"/>
    <col collapsed="false" customWidth="true" hidden="false" outlineLevel="0" max="4" min="4" style="1" width="24"/>
    <col collapsed="false" customWidth="true" hidden="false" outlineLevel="0" max="5" min="5" style="1" width="14"/>
    <col collapsed="false" customWidth="true" hidden="false" outlineLevel="0" max="6" min="6" style="1" width="11"/>
    <col collapsed="false" customWidth="true" hidden="false" outlineLevel="0" max="7" min="7" style="1" width="13"/>
    <col collapsed="false" customWidth="true" hidden="false" outlineLevel="0" max="8" min="8" style="1" width="11"/>
    <col collapsed="false" customWidth="true" hidden="false" outlineLevel="0" max="9" min="9" style="1" width="58"/>
  </cols>
  <sheetData>
    <row r="1" customFormat="false" ht="18" hidden="false" customHeight="true" outlineLevel="0" collapsed="false">
      <c r="A1" s="2" t="s">
        <v>233</v>
      </c>
      <c r="B1" s="2"/>
      <c r="C1" s="2"/>
      <c r="D1" s="2"/>
      <c r="E1" s="2"/>
      <c r="F1" s="2"/>
      <c r="G1" s="2"/>
      <c r="H1" s="2"/>
      <c r="I1" s="2"/>
    </row>
    <row r="2" customFormat="false" ht="25.5" hidden="false" customHeight="true" outlineLevel="0" collapsed="false">
      <c r="A2" s="3" t="s">
        <v>234</v>
      </c>
      <c r="B2" s="3"/>
      <c r="C2" s="3"/>
      <c r="D2" s="3"/>
      <c r="E2" s="3"/>
      <c r="F2" s="3"/>
      <c r="G2" s="3"/>
      <c r="H2" s="3"/>
      <c r="I2" s="3"/>
    </row>
    <row r="4" customFormat="false" ht="30" hidden="false" customHeight="true" outlineLevel="0" collapsed="false">
      <c r="A4" s="6" t="s">
        <v>235</v>
      </c>
      <c r="B4" s="6" t="s">
        <v>236</v>
      </c>
      <c r="C4" s="6" t="s">
        <v>237</v>
      </c>
      <c r="D4" s="6" t="s">
        <v>238</v>
      </c>
      <c r="E4" s="6" t="s">
        <v>239</v>
      </c>
      <c r="F4" s="6" t="s">
        <v>29</v>
      </c>
      <c r="G4" s="6" t="s">
        <v>240</v>
      </c>
      <c r="H4" s="6" t="s">
        <v>241</v>
      </c>
      <c r="I4" s="6" t="s">
        <v>242</v>
      </c>
    </row>
    <row r="5" customFormat="false" ht="33.75" hidden="false" customHeight="true" outlineLevel="0" collapsed="false">
      <c r="A5" s="30" t="s">
        <v>243</v>
      </c>
      <c r="B5" s="14" t="s">
        <v>244</v>
      </c>
      <c r="C5" s="35" t="n">
        <v>46241</v>
      </c>
      <c r="D5" s="15" t="s">
        <v>245</v>
      </c>
      <c r="E5" s="35" t="n">
        <v>46248</v>
      </c>
      <c r="F5" s="34" t="s">
        <v>246</v>
      </c>
      <c r="G5" s="15" t="n">
        <f aca="true">IF(F5="Closed","",TODAY()-C5)</f>
        <v>12</v>
      </c>
      <c r="H5" s="34" t="s">
        <v>247</v>
      </c>
      <c r="I5" s="14" t="s">
        <v>248</v>
      </c>
    </row>
    <row r="6" customFormat="false" ht="33.75" hidden="false" customHeight="true" outlineLevel="0" collapsed="false">
      <c r="A6" s="30" t="s">
        <v>249</v>
      </c>
      <c r="B6" s="14" t="s">
        <v>250</v>
      </c>
      <c r="C6" s="35" t="n">
        <v>46241</v>
      </c>
      <c r="D6" s="15" t="s">
        <v>245</v>
      </c>
      <c r="E6" s="35" t="n">
        <v>46246</v>
      </c>
      <c r="F6" s="33" t="s">
        <v>251</v>
      </c>
      <c r="G6" s="15" t="str">
        <f aca="true">IF(F6="Closed","",TODAY()-C6)</f>
        <v/>
      </c>
      <c r="H6" s="15" t="s">
        <v>247</v>
      </c>
      <c r="I6" s="14" t="s">
        <v>252</v>
      </c>
    </row>
    <row r="7" customFormat="false" ht="33.75" hidden="false" customHeight="true" outlineLevel="0" collapsed="false">
      <c r="A7" s="30" t="s">
        <v>253</v>
      </c>
      <c r="B7" s="14" t="s">
        <v>254</v>
      </c>
      <c r="C7" s="35" t="n">
        <v>46241</v>
      </c>
      <c r="D7" s="15" t="s">
        <v>255</v>
      </c>
      <c r="E7" s="35" t="n">
        <v>46248</v>
      </c>
      <c r="F7" s="33" t="s">
        <v>251</v>
      </c>
      <c r="G7" s="15" t="str">
        <f aca="true">IF(F7="Closed","",TODAY()-C7)</f>
        <v/>
      </c>
      <c r="H7" s="15" t="s">
        <v>247</v>
      </c>
      <c r="I7" s="14" t="s">
        <v>256</v>
      </c>
    </row>
    <row r="8" customFormat="false" ht="33.75" hidden="false" customHeight="true" outlineLevel="0" collapsed="false">
      <c r="A8" s="30" t="s">
        <v>257</v>
      </c>
      <c r="B8" s="14" t="s">
        <v>258</v>
      </c>
      <c r="C8" s="35" t="n">
        <v>46241</v>
      </c>
      <c r="D8" s="15" t="s">
        <v>245</v>
      </c>
      <c r="E8" s="35" t="s">
        <v>259</v>
      </c>
      <c r="F8" s="34" t="s">
        <v>246</v>
      </c>
      <c r="G8" s="15" t="n">
        <f aca="true">IF(F8="Closed","",TODAY()-C8)</f>
        <v>12</v>
      </c>
      <c r="H8" s="34" t="s">
        <v>247</v>
      </c>
      <c r="I8" s="14" t="s">
        <v>260</v>
      </c>
    </row>
    <row r="9" customFormat="false" ht="33.75" hidden="false" customHeight="true" outlineLevel="0" collapsed="false">
      <c r="A9" s="30" t="s">
        <v>261</v>
      </c>
      <c r="B9" s="14" t="s">
        <v>262</v>
      </c>
      <c r="C9" s="35" t="n">
        <v>46241</v>
      </c>
      <c r="D9" s="15" t="s">
        <v>245</v>
      </c>
      <c r="E9" s="35" t="n">
        <v>46248</v>
      </c>
      <c r="F9" s="33" t="s">
        <v>251</v>
      </c>
      <c r="G9" s="15" t="str">
        <f aca="true">IF(F9="Closed","",TODAY()-C9)</f>
        <v/>
      </c>
      <c r="H9" s="15" t="s">
        <v>263</v>
      </c>
      <c r="I9" s="14" t="s">
        <v>264</v>
      </c>
    </row>
    <row r="10" customFormat="false" ht="33.75" hidden="false" customHeight="true" outlineLevel="0" collapsed="false">
      <c r="A10" s="30" t="s">
        <v>265</v>
      </c>
      <c r="B10" s="14" t="s">
        <v>266</v>
      </c>
      <c r="C10" s="35" t="n">
        <v>46241</v>
      </c>
      <c r="D10" s="15" t="s">
        <v>245</v>
      </c>
      <c r="E10" s="35" t="n">
        <v>46262</v>
      </c>
      <c r="F10" s="34" t="s">
        <v>246</v>
      </c>
      <c r="G10" s="15" t="n">
        <f aca="true">IF(F10="Closed","",TODAY()-C10)</f>
        <v>12</v>
      </c>
      <c r="H10" s="15" t="s">
        <v>267</v>
      </c>
      <c r="I10" s="14" t="s">
        <v>268</v>
      </c>
    </row>
    <row r="11" customFormat="false" ht="33.75" hidden="false" customHeight="true" outlineLevel="0" collapsed="false">
      <c r="A11" s="30" t="s">
        <v>269</v>
      </c>
      <c r="B11" s="14" t="s">
        <v>270</v>
      </c>
      <c r="C11" s="35" t="n">
        <v>46241</v>
      </c>
      <c r="D11" s="15" t="s">
        <v>245</v>
      </c>
      <c r="E11" s="35" t="n">
        <v>46262</v>
      </c>
      <c r="F11" s="34" t="s">
        <v>246</v>
      </c>
      <c r="G11" s="15" t="n">
        <f aca="true">IF(F11="Closed","",TODAY()-C11)</f>
        <v>12</v>
      </c>
      <c r="H11" s="15" t="s">
        <v>267</v>
      </c>
      <c r="I11" s="14"/>
    </row>
    <row r="12" customFormat="false" ht="33.75" hidden="false" customHeight="true" outlineLevel="0" collapsed="false">
      <c r="A12" s="30" t="s">
        <v>271</v>
      </c>
      <c r="B12" s="14" t="s">
        <v>272</v>
      </c>
      <c r="C12" s="35" t="n">
        <v>46241</v>
      </c>
      <c r="D12" s="15" t="s">
        <v>104</v>
      </c>
      <c r="E12" s="35" t="n">
        <v>46255</v>
      </c>
      <c r="F12" s="34" t="s">
        <v>246</v>
      </c>
      <c r="G12" s="15" t="n">
        <f aca="true">IF(F12="Closed","",TODAY()-C12)</f>
        <v>12</v>
      </c>
      <c r="H12" s="15" t="s">
        <v>263</v>
      </c>
      <c r="I12" s="14" t="s">
        <v>273</v>
      </c>
    </row>
    <row r="13" customFormat="false" ht="33.75" hidden="false" customHeight="true" outlineLevel="0" collapsed="false">
      <c r="A13" s="30" t="s">
        <v>274</v>
      </c>
      <c r="B13" s="14" t="s">
        <v>275</v>
      </c>
      <c r="C13" s="35" t="n">
        <v>46241</v>
      </c>
      <c r="D13" s="15" t="s">
        <v>276</v>
      </c>
      <c r="E13" s="35" t="n">
        <v>46255</v>
      </c>
      <c r="F13" s="34" t="s">
        <v>246</v>
      </c>
      <c r="G13" s="15" t="n">
        <f aca="true">IF(F13="Closed","",TODAY()-C13)</f>
        <v>12</v>
      </c>
      <c r="H13" s="15" t="s">
        <v>267</v>
      </c>
      <c r="I13" s="14"/>
    </row>
    <row r="14" customFormat="false" ht="33.75" hidden="false" customHeight="true" outlineLevel="0" collapsed="false">
      <c r="A14" s="30" t="s">
        <v>277</v>
      </c>
      <c r="B14" s="14" t="s">
        <v>278</v>
      </c>
      <c r="C14" s="35" t="n">
        <v>46245</v>
      </c>
      <c r="D14" s="15" t="s">
        <v>279</v>
      </c>
      <c r="E14" s="35" t="n">
        <v>46252</v>
      </c>
      <c r="F14" s="34" t="s">
        <v>246</v>
      </c>
      <c r="G14" s="15" t="n">
        <f aca="true">IF(F14="Closed","",TODAY()-C14)</f>
        <v>8</v>
      </c>
      <c r="H14" s="34" t="s">
        <v>247</v>
      </c>
      <c r="I14" s="14" t="s">
        <v>280</v>
      </c>
    </row>
    <row r="15" customFormat="false" ht="33.75" hidden="false" customHeight="true" outlineLevel="0" collapsed="false">
      <c r="A15" s="30" t="s">
        <v>281</v>
      </c>
      <c r="B15" s="14" t="s">
        <v>282</v>
      </c>
      <c r="C15" s="35" t="n">
        <v>46245</v>
      </c>
      <c r="D15" s="15" t="s">
        <v>255</v>
      </c>
      <c r="E15" s="35" t="n">
        <v>46252</v>
      </c>
      <c r="F15" s="34" t="s">
        <v>246</v>
      </c>
      <c r="G15" s="15" t="n">
        <f aca="true">IF(F15="Closed","",TODAY()-C15)</f>
        <v>8</v>
      </c>
      <c r="H15" s="34" t="s">
        <v>247</v>
      </c>
      <c r="I15" s="14" t="s">
        <v>283</v>
      </c>
    </row>
    <row r="16" customFormat="false" ht="32.25" hidden="false" customHeight="true" outlineLevel="0" collapsed="false">
      <c r="A16" s="30" t="s">
        <v>284</v>
      </c>
      <c r="B16" s="14" t="s">
        <v>285</v>
      </c>
      <c r="C16" s="35" t="n">
        <v>46245</v>
      </c>
      <c r="D16" s="15" t="s">
        <v>286</v>
      </c>
      <c r="E16" s="35" t="n">
        <v>46247</v>
      </c>
      <c r="F16" s="34" t="s">
        <v>246</v>
      </c>
      <c r="G16" s="15" t="n">
        <f aca="true">IF(F16="Closed","",TODAY()-C16)</f>
        <v>8</v>
      </c>
      <c r="H16" s="34" t="s">
        <v>263</v>
      </c>
      <c r="I16" s="14" t="s">
        <v>287</v>
      </c>
    </row>
    <row r="17" customFormat="false" ht="21.75" hidden="false" customHeight="true" outlineLevel="0" collapsed="false">
      <c r="A17" s="30" t="s">
        <v>288</v>
      </c>
      <c r="B17" s="14" t="s">
        <v>289</v>
      </c>
      <c r="C17" s="35" t="n">
        <v>46245</v>
      </c>
      <c r="D17" s="15" t="s">
        <v>286</v>
      </c>
      <c r="E17" s="35" t="n">
        <v>46249</v>
      </c>
      <c r="F17" s="34" t="s">
        <v>251</v>
      </c>
      <c r="G17" s="15" t="str">
        <f aca="true">IF(F17="Closed","",TODAY()-C17)</f>
        <v/>
      </c>
      <c r="H17" s="34" t="s">
        <v>267</v>
      </c>
      <c r="I17" s="14" t="s">
        <v>290</v>
      </c>
    </row>
    <row r="18" customFormat="false" ht="21.75" hidden="false" customHeight="true" outlineLevel="0" collapsed="false">
      <c r="A18" s="30" t="s">
        <v>291</v>
      </c>
      <c r="B18" s="14" t="s">
        <v>292</v>
      </c>
      <c r="C18" s="35" t="n">
        <v>46253</v>
      </c>
      <c r="D18" s="15" t="s">
        <v>293</v>
      </c>
      <c r="E18" s="35" t="n">
        <v>46260</v>
      </c>
      <c r="F18" s="34" t="s">
        <v>246</v>
      </c>
      <c r="G18" s="15" t="n">
        <f aca="true">IF(F18="Closed","",TODAY()-C18)</f>
        <v>0</v>
      </c>
      <c r="H18" s="34" t="s">
        <v>263</v>
      </c>
      <c r="I18" s="14" t="s">
        <v>294</v>
      </c>
    </row>
    <row r="19" customFormat="false" ht="15" hidden="false" customHeight="true" outlineLevel="0" collapsed="false">
      <c r="B19" s="30" t="s">
        <v>295</v>
      </c>
      <c r="C19" s="30" t="n">
        <f aca="false">COUNTIF(F5:F18,"Open")</f>
        <v>10</v>
      </c>
    </row>
    <row r="20" customFormat="false" ht="15" hidden="false" customHeight="true" outlineLevel="0" collapsed="false">
      <c r="B20" s="30" t="s">
        <v>296</v>
      </c>
      <c r="C20" s="30" t="n">
        <f aca="false">COUNTIFS(F5:F18,"Open",H5:H18,"Critical")</f>
        <v>4</v>
      </c>
    </row>
    <row r="21" customFormat="false" ht="15" hidden="false" customHeight="true" outlineLevel="0" collapsed="false">
      <c r="B21" s="30" t="s">
        <v>297</v>
      </c>
      <c r="C21" s="30" t="n">
        <f aca="false">COUNTIF(F5:F18,"Closed")</f>
        <v>4</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2026-08-11T07:07:21Z</dcterms:created>
  <dc:creator>openpyxl</dc:creator>
  <dc:description/>
  <dc:language>en-US</dc:language>
  <cp:lastModifiedBy/>
  <dcterms:modified xsi:type="dcterms:W3CDTF">2026-08-19T12:43:23Z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