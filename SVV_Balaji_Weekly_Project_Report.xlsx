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Gantt Chart" sheetId="1" state="visible" r:id="rId1"/>
    <sheet xmlns:r="http://schemas.openxmlformats.org/officeDocument/2006/relationships" name="2. Schedule Baseline" sheetId="2" state="visible" r:id="rId2"/>
    <sheet xmlns:r="http://schemas.openxmlformats.org/officeDocument/2006/relationships" name="3. Weekly Progress" sheetId="3" state="visible" r:id="rId3"/>
    <sheet xmlns:r="http://schemas.openxmlformats.org/officeDocument/2006/relationships" name="4. Action Track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\W0"/>
    <numFmt numFmtId="165" formatCode="0.0%"/>
    <numFmt numFmtId="166" formatCode="yyyy-mm-dd h:mm:ss"/>
    <numFmt numFmtId="167" formatCode="dd-mmm-yyyy"/>
  </numFmts>
  <fonts count="7">
    <font>
      <name val="Calibri"/>
      <family val="2"/>
      <color theme="1"/>
      <sz val="11"/>
      <scheme val="minor"/>
    </font>
    <font>
      <name val="Arial"/>
      <b val="1"/>
      <color rgb="FF1F4E5F"/>
      <sz val="15"/>
    </font>
    <font>
      <name val="Arial"/>
      <sz val="9"/>
    </font>
    <font>
      <name val="Arial"/>
      <sz val="8"/>
    </font>
    <font>
      <name val="Arial"/>
      <b val="1"/>
      <color rgb="FFFFFFFF"/>
      <sz val="9"/>
    </font>
    <font>
      <name val="Arial"/>
      <b val="1"/>
      <sz val="9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FF1F4E5F"/>
      </patternFill>
    </fill>
    <fill>
      <patternFill patternType="solid">
        <fgColor rgb="FFD9E2E8"/>
      </patternFill>
    </fill>
    <fill>
      <patternFill patternType="solid">
        <fgColor rgb="FF2E9E5B"/>
      </patternFill>
    </fill>
    <fill>
      <patternFill patternType="solid">
        <fgColor rgb="FF9DC3E6"/>
      </patternFill>
    </fill>
    <fill>
      <patternFill patternType="solid">
        <fgColor rgb="FFE06666"/>
      </patternFill>
    </fill>
    <fill>
      <patternFill patternType="solid">
        <fgColor rgb="FFF2C14E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medium">
        <color rgb="FFCC0000"/>
      </left>
      <right/>
      <top/>
      <bottom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164" fontId="4" fillId="2" borderId="0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0" fillId="3" borderId="1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0" pivotButton="0" quotePrefix="0" xfId="0"/>
    <xf numFmtId="0" fontId="0" fillId="4" borderId="0" pivotButton="0" quotePrefix="0" xfId="0"/>
    <xf numFmtId="0" fontId="2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5" fillId="3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left" vertical="center" wrapText="1"/>
    </xf>
    <xf numFmtId="0" fontId="2" fillId="8" borderId="0" applyAlignment="1" pivotButton="0" quotePrefix="0" xfId="0">
      <alignment horizontal="center" vertical="center"/>
    </xf>
    <xf numFmtId="9" fontId="2" fillId="8" borderId="0" applyAlignment="1" pivotButton="0" quotePrefix="0" xfId="0">
      <alignment horizontal="center" vertical="center"/>
    </xf>
    <xf numFmtId="0" fontId="5" fillId="0" borderId="0" pivotButton="0" quotePrefix="0" xfId="0"/>
    <xf numFmtId="9" fontId="5" fillId="0" borderId="0" pivotButton="0" quotePrefix="0" xfId="0"/>
    <xf numFmtId="165" fontId="5" fillId="0" borderId="0" pivotButton="0" quotePrefix="0" xfId="0"/>
    <xf numFmtId="0" fontId="2" fillId="9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167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FF2E9E5B"/>
          <bgColor rgb="FF2E9E5B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F2C14E"/>
          <bgColor rgb="FFF2C14E"/>
        </patternFill>
      </fill>
    </dxf>
    <dxf>
      <fill>
        <patternFill patternType="solid">
          <fgColor rgb="FF9DC3E6"/>
          <bgColor rgb="FF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1"/>
  <sheetViews>
    <sheetView workbookViewId="0">
      <pane xSplit="7" ySplit="5" topLeftCell="H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2" customWidth="1" min="2" max="2"/>
    <col width="13" customWidth="1" min="3" max="3"/>
    <col width="7" customWidth="1" min="4" max="4"/>
    <col width="7" customWidth="1" min="5" max="5"/>
    <col width="8" customWidth="1" min="6" max="6"/>
    <col width="13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</cols>
  <sheetData>
    <row r="1" ht="18" customHeight="1">
      <c r="A1" s="1" t="inlineStr">
        <is>
          <t>SVV BALAJI - PROJECT GANTT CHART</t>
        </is>
      </c>
    </row>
    <row r="2" ht="26" customHeight="1">
      <c r="A2" s="2" t="inlineStr">
        <is>
          <t>Revised 11-Aug-2026 following client decisions on sales channel and GST. Week 1 commenced 04-Aug-2026. Amber bars are B2C activities added by Decision 1 and are conditional on written agreement of cost and timeline (action A-10). Red line marks the current reporting week.</t>
        </is>
      </c>
    </row>
    <row r="4" ht="22.5" customHeight="1">
      <c r="H4" s="3" t="inlineStr">
        <is>
          <t>04-Aug</t>
        </is>
      </c>
      <c r="I4" s="4" t="inlineStr">
        <is>
          <t>11-Aug</t>
        </is>
      </c>
      <c r="J4" s="3" t="inlineStr">
        <is>
          <t>18-Aug</t>
        </is>
      </c>
      <c r="K4" s="3" t="inlineStr">
        <is>
          <t>25-Aug</t>
        </is>
      </c>
      <c r="L4" s="3" t="inlineStr">
        <is>
          <t>01-Sep</t>
        </is>
      </c>
      <c r="M4" s="3" t="inlineStr">
        <is>
          <t>08-Sep</t>
        </is>
      </c>
      <c r="N4" s="3" t="inlineStr">
        <is>
          <t>15-Sep</t>
        </is>
      </c>
      <c r="O4" s="3" t="inlineStr">
        <is>
          <t>22-Sep</t>
        </is>
      </c>
      <c r="P4" s="3" t="inlineStr">
        <is>
          <t>29-Sep</t>
        </is>
      </c>
      <c r="Q4" s="3" t="inlineStr">
        <is>
          <t>06-Oct</t>
        </is>
      </c>
      <c r="R4" s="3" t="inlineStr">
        <is>
          <t>13-Oct</t>
        </is>
      </c>
      <c r="S4" s="3" t="inlineStr">
        <is>
          <t>20-Oct</t>
        </is>
      </c>
      <c r="T4" s="3" t="inlineStr">
        <is>
          <t>27-Oct</t>
        </is>
      </c>
      <c r="U4" s="3" t="inlineStr">
        <is>
          <t>03-Nov</t>
        </is>
      </c>
      <c r="V4" s="3" t="inlineStr">
        <is>
          <t>10-Nov</t>
        </is>
      </c>
      <c r="W4" s="3" t="inlineStr">
        <is>
          <t>17-Nov</t>
        </is>
      </c>
      <c r="X4" s="3" t="inlineStr">
        <is>
          <t>24-Nov</t>
        </is>
      </c>
      <c r="Y4" s="3" t="inlineStr">
        <is>
          <t>01-Dec</t>
        </is>
      </c>
      <c r="Z4" s="3" t="inlineStr">
        <is>
          <t>08-Dec</t>
        </is>
      </c>
      <c r="AA4" s="3" t="inlineStr">
        <is>
          <t>15-Dec</t>
        </is>
      </c>
      <c r="AB4" s="3" t="inlineStr">
        <is>
          <t>22-Dec</t>
        </is>
      </c>
    </row>
    <row r="5" ht="15" customHeight="1">
      <c r="A5" s="5" t="inlineStr">
        <is>
          <t>WBS</t>
        </is>
      </c>
      <c r="B5" s="5" t="inlineStr">
        <is>
          <t>Activity</t>
        </is>
      </c>
      <c r="C5" s="5" t="inlineStr">
        <is>
          <t>Owner</t>
        </is>
      </c>
      <c r="D5" s="5" t="inlineStr">
        <is>
          <t>Start</t>
        </is>
      </c>
      <c r="E5" s="5" t="inlineStr">
        <is>
          <t>Finish</t>
        </is>
      </c>
      <c r="F5" s="5" t="inlineStr">
        <is>
          <t>% Done</t>
        </is>
      </c>
      <c r="G5" s="5" t="inlineStr">
        <is>
          <t>Status</t>
        </is>
      </c>
      <c r="H5" s="6" t="n">
        <v>1</v>
      </c>
      <c r="I5" s="7" t="n">
        <v>2</v>
      </c>
      <c r="J5" s="6" t="n">
        <v>3</v>
      </c>
      <c r="K5" s="6" t="n">
        <v>4</v>
      </c>
      <c r="L5" s="6" t="n">
        <v>5</v>
      </c>
      <c r="M5" s="6" t="n">
        <v>6</v>
      </c>
      <c r="N5" s="6" t="n">
        <v>7</v>
      </c>
      <c r="O5" s="6" t="n">
        <v>8</v>
      </c>
      <c r="P5" s="6" t="n">
        <v>9</v>
      </c>
      <c r="Q5" s="6" t="n">
        <v>10</v>
      </c>
      <c r="R5" s="6" t="n">
        <v>11</v>
      </c>
      <c r="S5" s="6" t="n">
        <v>12</v>
      </c>
      <c r="T5" s="6" t="n">
        <v>13</v>
      </c>
      <c r="U5" s="6" t="n">
        <v>14</v>
      </c>
      <c r="V5" s="6" t="n">
        <v>15</v>
      </c>
      <c r="W5" s="6" t="n">
        <v>16</v>
      </c>
      <c r="X5" s="6" t="n">
        <v>17</v>
      </c>
      <c r="Y5" s="6" t="n">
        <v>18</v>
      </c>
      <c r="Z5" s="6" t="n">
        <v>19</v>
      </c>
      <c r="AA5" s="6" t="n">
        <v>20</v>
      </c>
      <c r="AB5" s="6" t="n">
        <v>21</v>
      </c>
    </row>
    <row r="6" ht="21.75" customHeight="1">
      <c r="A6" s="8" t="inlineStr">
        <is>
          <t>WS1</t>
        </is>
      </c>
      <c r="B6" s="9" t="inlineStr">
        <is>
          <t>BACKEND API / PLATFORM</t>
        </is>
      </c>
      <c r="C6" s="10" t="n"/>
      <c r="D6" s="10" t="n"/>
      <c r="E6" s="10" t="n"/>
      <c r="F6" s="10" t="n"/>
      <c r="G6" s="10" t="n"/>
      <c r="H6" s="10" t="n"/>
      <c r="I6" s="11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21.75" customHeight="1">
      <c r="A7" s="12" t="inlineStr">
        <is>
          <t>WS1.1</t>
        </is>
      </c>
      <c r="B7" s="2" t="inlineStr">
        <is>
          <t>Foundation: architecture, auth, roles &amp; permissions, CI</t>
        </is>
      </c>
      <c r="C7" s="13" t="inlineStr">
        <is>
          <t>Ujjawal</t>
        </is>
      </c>
      <c r="D7" s="13" t="n">
        <v>1</v>
      </c>
      <c r="E7" s="13" t="n">
        <v>1</v>
      </c>
      <c r="F7" s="14" t="n">
        <v>1</v>
      </c>
      <c r="G7" s="13" t="inlineStr">
        <is>
          <t>Complete</t>
        </is>
      </c>
      <c r="H7">
        <f>IF(AND($D7&lt;&gt;"",$E7&lt;&gt;"",H$5&gt;=$D7,H$5&lt;=$E7),IF($F7&gt;=1,3,IF($G7="Blocked",2,IF($G7="Conditional",4,1))),"")</f>
        <v/>
      </c>
      <c r="I7" s="15">
        <f>IF(AND($D7&lt;&gt;"",$E7&lt;&gt;"",I$5&gt;=$D7,I$5&lt;=$E7),IF($F7&gt;=1,3,IF($G7="Blocked",2,IF($G7="Conditional",4,1))),"")</f>
        <v/>
      </c>
      <c r="J7">
        <f>IF(AND($D7&lt;&gt;"",$E7&lt;&gt;"",J$5&gt;=$D7,J$5&lt;=$E7),IF($F7&gt;=1,3,IF($G7="Blocked",2,IF($G7="Conditional",4,1))),"")</f>
        <v/>
      </c>
      <c r="K7">
        <f>IF(AND($D7&lt;&gt;"",$E7&lt;&gt;"",K$5&gt;=$D7,K$5&lt;=$E7),IF($F7&gt;=1,3,IF($G7="Blocked",2,IF($G7="Conditional",4,1))),"")</f>
        <v/>
      </c>
      <c r="L7">
        <f>IF(AND($D7&lt;&gt;"",$E7&lt;&gt;"",L$5&gt;=$D7,L$5&lt;=$E7),IF($F7&gt;=1,3,IF($G7="Blocked",2,IF($G7="Conditional",4,1))),"")</f>
        <v/>
      </c>
      <c r="M7">
        <f>IF(AND($D7&lt;&gt;"",$E7&lt;&gt;"",M$5&gt;=$D7,M$5&lt;=$E7),IF($F7&gt;=1,3,IF($G7="Blocked",2,IF($G7="Conditional",4,1))),"")</f>
        <v/>
      </c>
      <c r="N7">
        <f>IF(AND($D7&lt;&gt;"",$E7&lt;&gt;"",N$5&gt;=$D7,N$5&lt;=$E7),IF($F7&gt;=1,3,IF($G7="Blocked",2,IF($G7="Conditional",4,1))),"")</f>
        <v/>
      </c>
      <c r="O7">
        <f>IF(AND($D7&lt;&gt;"",$E7&lt;&gt;"",O$5&gt;=$D7,O$5&lt;=$E7),IF($F7&gt;=1,3,IF($G7="Blocked",2,IF($G7="Conditional",4,1))),"")</f>
        <v/>
      </c>
      <c r="P7">
        <f>IF(AND($D7&lt;&gt;"",$E7&lt;&gt;"",P$5&gt;=$D7,P$5&lt;=$E7),IF($F7&gt;=1,3,IF($G7="Blocked",2,IF($G7="Conditional",4,1))),"")</f>
        <v/>
      </c>
      <c r="Q7">
        <f>IF(AND($D7&lt;&gt;"",$E7&lt;&gt;"",Q$5&gt;=$D7,Q$5&lt;=$E7),IF($F7&gt;=1,3,IF($G7="Blocked",2,IF($G7="Conditional",4,1))),"")</f>
        <v/>
      </c>
      <c r="R7">
        <f>IF(AND($D7&lt;&gt;"",$E7&lt;&gt;"",R$5&gt;=$D7,R$5&lt;=$E7),IF($F7&gt;=1,3,IF($G7="Blocked",2,IF($G7="Conditional",4,1))),"")</f>
        <v/>
      </c>
      <c r="S7">
        <f>IF(AND($D7&lt;&gt;"",$E7&lt;&gt;"",S$5&gt;=$D7,S$5&lt;=$E7),IF($F7&gt;=1,3,IF($G7="Blocked",2,IF($G7="Conditional",4,1))),"")</f>
        <v/>
      </c>
      <c r="T7">
        <f>IF(AND($D7&lt;&gt;"",$E7&lt;&gt;"",T$5&gt;=$D7,T$5&lt;=$E7),IF($F7&gt;=1,3,IF($G7="Blocked",2,IF($G7="Conditional",4,1))),"")</f>
        <v/>
      </c>
      <c r="U7">
        <f>IF(AND($D7&lt;&gt;"",$E7&lt;&gt;"",U$5&gt;=$D7,U$5&lt;=$E7),IF($F7&gt;=1,3,IF($G7="Blocked",2,IF($G7="Conditional",4,1))),"")</f>
        <v/>
      </c>
      <c r="V7">
        <f>IF(AND($D7&lt;&gt;"",$E7&lt;&gt;"",V$5&gt;=$D7,V$5&lt;=$E7),IF($F7&gt;=1,3,IF($G7="Blocked",2,IF($G7="Conditional",4,1))),"")</f>
        <v/>
      </c>
      <c r="W7">
        <f>IF(AND($D7&lt;&gt;"",$E7&lt;&gt;"",W$5&gt;=$D7,W$5&lt;=$E7),IF($F7&gt;=1,3,IF($G7="Blocked",2,IF($G7="Conditional",4,1))),"")</f>
        <v/>
      </c>
      <c r="X7">
        <f>IF(AND($D7&lt;&gt;"",$E7&lt;&gt;"",X$5&gt;=$D7,X$5&lt;=$E7),IF($F7&gt;=1,3,IF($G7="Blocked",2,IF($G7="Conditional",4,1))),"")</f>
        <v/>
      </c>
      <c r="Y7">
        <f>IF(AND($D7&lt;&gt;"",$E7&lt;&gt;"",Y$5&gt;=$D7,Y$5&lt;=$E7),IF($F7&gt;=1,3,IF($G7="Blocked",2,IF($G7="Conditional",4,1))),"")</f>
        <v/>
      </c>
      <c r="Z7">
        <f>IF(AND($D7&lt;&gt;"",$E7&lt;&gt;"",Z$5&gt;=$D7,Z$5&lt;=$E7),IF($F7&gt;=1,3,IF($G7="Blocked",2,IF($G7="Conditional",4,1))),"")</f>
        <v/>
      </c>
      <c r="AA7">
        <f>IF(AND($D7&lt;&gt;"",$E7&lt;&gt;"",AA$5&gt;=$D7,AA$5&lt;=$E7),IF($F7&gt;=1,3,IF($G7="Blocked",2,IF($G7="Conditional",4,1))),"")</f>
        <v/>
      </c>
      <c r="AB7">
        <f>IF(AND($D7&lt;&gt;"",$E7&lt;&gt;"",AB$5&gt;=$D7,AB$5&lt;=$E7),IF($F7&gt;=1,3,IF($G7="Blocked",2,IF($G7="Conditional",4,1))),"")</f>
        <v/>
      </c>
    </row>
    <row r="8" ht="21.75" customHeight="1">
      <c r="A8" s="12" t="inlineStr">
        <is>
          <t>WS1.2</t>
        </is>
      </c>
      <c r="B8" s="2" t="inlineStr">
        <is>
          <t>Farm sourcing: farmer registry, traceability ID, agreements, seed, training, field monitoring</t>
        </is>
      </c>
      <c r="C8" s="13" t="inlineStr">
        <is>
          <t>Ujjawal</t>
        </is>
      </c>
      <c r="D8" s="13" t="n">
        <v>1</v>
      </c>
      <c r="E8" s="13" t="n">
        <v>2</v>
      </c>
      <c r="F8" s="14" t="n">
        <v>1</v>
      </c>
      <c r="G8" s="13" t="inlineStr">
        <is>
          <t>Complete</t>
        </is>
      </c>
      <c r="H8">
        <f>IF(AND($D8&lt;&gt;"",$E8&lt;&gt;"",H$5&gt;=$D8,H$5&lt;=$E8),IF($F8&gt;=1,3,IF($G8="Blocked",2,IF($G8="Conditional",4,1))),"")</f>
        <v/>
      </c>
      <c r="I8" s="15">
        <f>IF(AND($D8&lt;&gt;"",$E8&lt;&gt;"",I$5&gt;=$D8,I$5&lt;=$E8),IF($F8&gt;=1,3,IF($G8="Blocked",2,IF($G8="Conditional",4,1))),"")</f>
        <v/>
      </c>
      <c r="J8">
        <f>IF(AND($D8&lt;&gt;"",$E8&lt;&gt;"",J$5&gt;=$D8,J$5&lt;=$E8),IF($F8&gt;=1,3,IF($G8="Blocked",2,IF($G8="Conditional",4,1))),"")</f>
        <v/>
      </c>
      <c r="K8">
        <f>IF(AND($D8&lt;&gt;"",$E8&lt;&gt;"",K$5&gt;=$D8,K$5&lt;=$E8),IF($F8&gt;=1,3,IF($G8="Blocked",2,IF($G8="Conditional",4,1))),"")</f>
        <v/>
      </c>
      <c r="L8">
        <f>IF(AND($D8&lt;&gt;"",$E8&lt;&gt;"",L$5&gt;=$D8,L$5&lt;=$E8),IF($F8&gt;=1,3,IF($G8="Blocked",2,IF($G8="Conditional",4,1))),"")</f>
        <v/>
      </c>
      <c r="M8">
        <f>IF(AND($D8&lt;&gt;"",$E8&lt;&gt;"",M$5&gt;=$D8,M$5&lt;=$E8),IF($F8&gt;=1,3,IF($G8="Blocked",2,IF($G8="Conditional",4,1))),"")</f>
        <v/>
      </c>
      <c r="N8">
        <f>IF(AND($D8&lt;&gt;"",$E8&lt;&gt;"",N$5&gt;=$D8,N$5&lt;=$E8),IF($F8&gt;=1,3,IF($G8="Blocked",2,IF($G8="Conditional",4,1))),"")</f>
        <v/>
      </c>
      <c r="O8">
        <f>IF(AND($D8&lt;&gt;"",$E8&lt;&gt;"",O$5&gt;=$D8,O$5&lt;=$E8),IF($F8&gt;=1,3,IF($G8="Blocked",2,IF($G8="Conditional",4,1))),"")</f>
        <v/>
      </c>
      <c r="P8">
        <f>IF(AND($D8&lt;&gt;"",$E8&lt;&gt;"",P$5&gt;=$D8,P$5&lt;=$E8),IF($F8&gt;=1,3,IF($G8="Blocked",2,IF($G8="Conditional",4,1))),"")</f>
        <v/>
      </c>
      <c r="Q8">
        <f>IF(AND($D8&lt;&gt;"",$E8&lt;&gt;"",Q$5&gt;=$D8,Q$5&lt;=$E8),IF($F8&gt;=1,3,IF($G8="Blocked",2,IF($G8="Conditional",4,1))),"")</f>
        <v/>
      </c>
      <c r="R8">
        <f>IF(AND($D8&lt;&gt;"",$E8&lt;&gt;"",R$5&gt;=$D8,R$5&lt;=$E8),IF($F8&gt;=1,3,IF($G8="Blocked",2,IF($G8="Conditional",4,1))),"")</f>
        <v/>
      </c>
      <c r="S8">
        <f>IF(AND($D8&lt;&gt;"",$E8&lt;&gt;"",S$5&gt;=$D8,S$5&lt;=$E8),IF($F8&gt;=1,3,IF($G8="Blocked",2,IF($G8="Conditional",4,1))),"")</f>
        <v/>
      </c>
      <c r="T8">
        <f>IF(AND($D8&lt;&gt;"",$E8&lt;&gt;"",T$5&gt;=$D8,T$5&lt;=$E8),IF($F8&gt;=1,3,IF($G8="Blocked",2,IF($G8="Conditional",4,1))),"")</f>
        <v/>
      </c>
      <c r="U8">
        <f>IF(AND($D8&lt;&gt;"",$E8&lt;&gt;"",U$5&gt;=$D8,U$5&lt;=$E8),IF($F8&gt;=1,3,IF($G8="Blocked",2,IF($G8="Conditional",4,1))),"")</f>
        <v/>
      </c>
      <c r="V8">
        <f>IF(AND($D8&lt;&gt;"",$E8&lt;&gt;"",V$5&gt;=$D8,V$5&lt;=$E8),IF($F8&gt;=1,3,IF($G8="Blocked",2,IF($G8="Conditional",4,1))),"")</f>
        <v/>
      </c>
      <c r="W8">
        <f>IF(AND($D8&lt;&gt;"",$E8&lt;&gt;"",W$5&gt;=$D8,W$5&lt;=$E8),IF($F8&gt;=1,3,IF($G8="Blocked",2,IF($G8="Conditional",4,1))),"")</f>
        <v/>
      </c>
      <c r="X8">
        <f>IF(AND($D8&lt;&gt;"",$E8&lt;&gt;"",X$5&gt;=$D8,X$5&lt;=$E8),IF($F8&gt;=1,3,IF($G8="Blocked",2,IF($G8="Conditional",4,1))),"")</f>
        <v/>
      </c>
      <c r="Y8">
        <f>IF(AND($D8&lt;&gt;"",$E8&lt;&gt;"",Y$5&gt;=$D8,Y$5&lt;=$E8),IF($F8&gt;=1,3,IF($G8="Blocked",2,IF($G8="Conditional",4,1))),"")</f>
        <v/>
      </c>
      <c r="Z8">
        <f>IF(AND($D8&lt;&gt;"",$E8&lt;&gt;"",Z$5&gt;=$D8,Z$5&lt;=$E8),IF($F8&gt;=1,3,IF($G8="Blocked",2,IF($G8="Conditional",4,1))),"")</f>
        <v/>
      </c>
      <c r="AA8">
        <f>IF(AND($D8&lt;&gt;"",$E8&lt;&gt;"",AA$5&gt;=$D8,AA$5&lt;=$E8),IF($F8&gt;=1,3,IF($G8="Blocked",2,IF($G8="Conditional",4,1))),"")</f>
        <v/>
      </c>
      <c r="AB8">
        <f>IF(AND($D8&lt;&gt;"",$E8&lt;&gt;"",AB$5&gt;=$D8,AB$5&lt;=$E8),IF($F8&gt;=1,3,IF($G8="Blocked",2,IF($G8="Conditional",4,1))),"")</f>
        <v/>
      </c>
    </row>
    <row r="9" ht="21.75" customHeight="1">
      <c r="A9" s="12" t="inlineStr">
        <is>
          <t>WS1.3</t>
        </is>
      </c>
      <c r="B9" s="2" t="inlineStr">
        <is>
          <t>Procurement: planning, harvest inspection, collection, batching, warehouse &amp; inventory</t>
        </is>
      </c>
      <c r="C9" s="13" t="inlineStr">
        <is>
          <t>Ujjawal</t>
        </is>
      </c>
      <c r="D9" s="13" t="n">
        <v>2</v>
      </c>
      <c r="E9" s="13" t="n">
        <v>3</v>
      </c>
      <c r="F9" s="14" t="n">
        <v>1</v>
      </c>
      <c r="G9" s="13" t="inlineStr">
        <is>
          <t>Complete</t>
        </is>
      </c>
      <c r="H9">
        <f>IF(AND($D9&lt;&gt;"",$E9&lt;&gt;"",H$5&gt;=$D9,H$5&lt;=$E9),IF($F9&gt;=1,3,IF($G9="Blocked",2,IF($G9="Conditional",4,1))),"")</f>
        <v/>
      </c>
      <c r="I9" s="15">
        <f>IF(AND($D9&lt;&gt;"",$E9&lt;&gt;"",I$5&gt;=$D9,I$5&lt;=$E9),IF($F9&gt;=1,3,IF($G9="Blocked",2,IF($G9="Conditional",4,1))),"")</f>
        <v/>
      </c>
      <c r="J9">
        <f>IF(AND($D9&lt;&gt;"",$E9&lt;&gt;"",J$5&gt;=$D9,J$5&lt;=$E9),IF($F9&gt;=1,3,IF($G9="Blocked",2,IF($G9="Conditional",4,1))),"")</f>
        <v/>
      </c>
      <c r="K9">
        <f>IF(AND($D9&lt;&gt;"",$E9&lt;&gt;"",K$5&gt;=$D9,K$5&lt;=$E9),IF($F9&gt;=1,3,IF($G9="Blocked",2,IF($G9="Conditional",4,1))),"")</f>
        <v/>
      </c>
      <c r="L9">
        <f>IF(AND($D9&lt;&gt;"",$E9&lt;&gt;"",L$5&gt;=$D9,L$5&lt;=$E9),IF($F9&gt;=1,3,IF($G9="Blocked",2,IF($G9="Conditional",4,1))),"")</f>
        <v/>
      </c>
      <c r="M9">
        <f>IF(AND($D9&lt;&gt;"",$E9&lt;&gt;"",M$5&gt;=$D9,M$5&lt;=$E9),IF($F9&gt;=1,3,IF($G9="Blocked",2,IF($G9="Conditional",4,1))),"")</f>
        <v/>
      </c>
      <c r="N9">
        <f>IF(AND($D9&lt;&gt;"",$E9&lt;&gt;"",N$5&gt;=$D9,N$5&lt;=$E9),IF($F9&gt;=1,3,IF($G9="Blocked",2,IF($G9="Conditional",4,1))),"")</f>
        <v/>
      </c>
      <c r="O9">
        <f>IF(AND($D9&lt;&gt;"",$E9&lt;&gt;"",O$5&gt;=$D9,O$5&lt;=$E9),IF($F9&gt;=1,3,IF($G9="Blocked",2,IF($G9="Conditional",4,1))),"")</f>
        <v/>
      </c>
      <c r="P9">
        <f>IF(AND($D9&lt;&gt;"",$E9&lt;&gt;"",P$5&gt;=$D9,P$5&lt;=$E9),IF($F9&gt;=1,3,IF($G9="Blocked",2,IF($G9="Conditional",4,1))),"")</f>
        <v/>
      </c>
      <c r="Q9">
        <f>IF(AND($D9&lt;&gt;"",$E9&lt;&gt;"",Q$5&gt;=$D9,Q$5&lt;=$E9),IF($F9&gt;=1,3,IF($G9="Blocked",2,IF($G9="Conditional",4,1))),"")</f>
        <v/>
      </c>
      <c r="R9">
        <f>IF(AND($D9&lt;&gt;"",$E9&lt;&gt;"",R$5&gt;=$D9,R$5&lt;=$E9),IF($F9&gt;=1,3,IF($G9="Blocked",2,IF($G9="Conditional",4,1))),"")</f>
        <v/>
      </c>
      <c r="S9">
        <f>IF(AND($D9&lt;&gt;"",$E9&lt;&gt;"",S$5&gt;=$D9,S$5&lt;=$E9),IF($F9&gt;=1,3,IF($G9="Blocked",2,IF($G9="Conditional",4,1))),"")</f>
        <v/>
      </c>
      <c r="T9">
        <f>IF(AND($D9&lt;&gt;"",$E9&lt;&gt;"",T$5&gt;=$D9,T$5&lt;=$E9),IF($F9&gt;=1,3,IF($G9="Blocked",2,IF($G9="Conditional",4,1))),"")</f>
        <v/>
      </c>
      <c r="U9">
        <f>IF(AND($D9&lt;&gt;"",$E9&lt;&gt;"",U$5&gt;=$D9,U$5&lt;=$E9),IF($F9&gt;=1,3,IF($G9="Blocked",2,IF($G9="Conditional",4,1))),"")</f>
        <v/>
      </c>
      <c r="V9">
        <f>IF(AND($D9&lt;&gt;"",$E9&lt;&gt;"",V$5&gt;=$D9,V$5&lt;=$E9),IF($F9&gt;=1,3,IF($G9="Blocked",2,IF($G9="Conditional",4,1))),"")</f>
        <v/>
      </c>
      <c r="W9">
        <f>IF(AND($D9&lt;&gt;"",$E9&lt;&gt;"",W$5&gt;=$D9,W$5&lt;=$E9),IF($F9&gt;=1,3,IF($G9="Blocked",2,IF($G9="Conditional",4,1))),"")</f>
        <v/>
      </c>
      <c r="X9">
        <f>IF(AND($D9&lt;&gt;"",$E9&lt;&gt;"",X$5&gt;=$D9,X$5&lt;=$E9),IF($F9&gt;=1,3,IF($G9="Blocked",2,IF($G9="Conditional",4,1))),"")</f>
        <v/>
      </c>
      <c r="Y9">
        <f>IF(AND($D9&lt;&gt;"",$E9&lt;&gt;"",Y$5&gt;=$D9,Y$5&lt;=$E9),IF($F9&gt;=1,3,IF($G9="Blocked",2,IF($G9="Conditional",4,1))),"")</f>
        <v/>
      </c>
      <c r="Z9">
        <f>IF(AND($D9&lt;&gt;"",$E9&lt;&gt;"",Z$5&gt;=$D9,Z$5&lt;=$E9),IF($F9&gt;=1,3,IF($G9="Blocked",2,IF($G9="Conditional",4,1))),"")</f>
        <v/>
      </c>
      <c r="AA9">
        <f>IF(AND($D9&lt;&gt;"",$E9&lt;&gt;"",AA$5&gt;=$D9,AA$5&lt;=$E9),IF($F9&gt;=1,3,IF($G9="Blocked",2,IF($G9="Conditional",4,1))),"")</f>
        <v/>
      </c>
      <c r="AB9">
        <f>IF(AND($D9&lt;&gt;"",$E9&lt;&gt;"",AB$5&gt;=$D9,AB$5&lt;=$E9),IF($F9&gt;=1,3,IF($G9="Blocked",2,IF($G9="Conditional",4,1))),"")</f>
        <v/>
      </c>
    </row>
    <row r="10" ht="21.75" customHeight="1">
      <c r="A10" s="12" t="inlineStr">
        <is>
          <t>WS1.4</t>
        </is>
      </c>
      <c r="B10" s="2" t="inlineStr">
        <is>
          <t>Processing: cleaning/grading, recipes, production, QA, packaging, finished goods</t>
        </is>
      </c>
      <c r="C10" s="13" t="inlineStr">
        <is>
          <t>Ujjawal</t>
        </is>
      </c>
      <c r="D10" s="13" t="n">
        <v>3</v>
      </c>
      <c r="E10" s="13" t="n">
        <v>4</v>
      </c>
      <c r="F10" s="14" t="n">
        <v>1</v>
      </c>
      <c r="G10" s="13" t="inlineStr">
        <is>
          <t>Complete</t>
        </is>
      </c>
      <c r="H10">
        <f>IF(AND($D10&lt;&gt;"",$E10&lt;&gt;"",H$5&gt;=$D10,H$5&lt;=$E10),IF($F10&gt;=1,3,IF($G10="Blocked",2,IF($G10="Conditional",4,1))),"")</f>
        <v/>
      </c>
      <c r="I10" s="15">
        <f>IF(AND($D10&lt;&gt;"",$E10&lt;&gt;"",I$5&gt;=$D10,I$5&lt;=$E10),IF($F10&gt;=1,3,IF($G10="Blocked",2,IF($G10="Conditional",4,1))),"")</f>
        <v/>
      </c>
      <c r="J10">
        <f>IF(AND($D10&lt;&gt;"",$E10&lt;&gt;"",J$5&gt;=$D10,J$5&lt;=$E10),IF($F10&gt;=1,3,IF($G10="Blocked",2,IF($G10="Conditional",4,1))),"")</f>
        <v/>
      </c>
      <c r="K10">
        <f>IF(AND($D10&lt;&gt;"",$E10&lt;&gt;"",K$5&gt;=$D10,K$5&lt;=$E10),IF($F10&gt;=1,3,IF($G10="Blocked",2,IF($G10="Conditional",4,1))),"")</f>
        <v/>
      </c>
      <c r="L10">
        <f>IF(AND($D10&lt;&gt;"",$E10&lt;&gt;"",L$5&gt;=$D10,L$5&lt;=$E10),IF($F10&gt;=1,3,IF($G10="Blocked",2,IF($G10="Conditional",4,1))),"")</f>
        <v/>
      </c>
      <c r="M10">
        <f>IF(AND($D10&lt;&gt;"",$E10&lt;&gt;"",M$5&gt;=$D10,M$5&lt;=$E10),IF($F10&gt;=1,3,IF($G10="Blocked",2,IF($G10="Conditional",4,1))),"")</f>
        <v/>
      </c>
      <c r="N10">
        <f>IF(AND($D10&lt;&gt;"",$E10&lt;&gt;"",N$5&gt;=$D10,N$5&lt;=$E10),IF($F10&gt;=1,3,IF($G10="Blocked",2,IF($G10="Conditional",4,1))),"")</f>
        <v/>
      </c>
      <c r="O10">
        <f>IF(AND($D10&lt;&gt;"",$E10&lt;&gt;"",O$5&gt;=$D10,O$5&lt;=$E10),IF($F10&gt;=1,3,IF($G10="Blocked",2,IF($G10="Conditional",4,1))),"")</f>
        <v/>
      </c>
      <c r="P10">
        <f>IF(AND($D10&lt;&gt;"",$E10&lt;&gt;"",P$5&gt;=$D10,P$5&lt;=$E10),IF($F10&gt;=1,3,IF($G10="Blocked",2,IF($G10="Conditional",4,1))),"")</f>
        <v/>
      </c>
      <c r="Q10">
        <f>IF(AND($D10&lt;&gt;"",$E10&lt;&gt;"",Q$5&gt;=$D10,Q$5&lt;=$E10),IF($F10&gt;=1,3,IF($G10="Blocked",2,IF($G10="Conditional",4,1))),"")</f>
        <v/>
      </c>
      <c r="R10">
        <f>IF(AND($D10&lt;&gt;"",$E10&lt;&gt;"",R$5&gt;=$D10,R$5&lt;=$E10),IF($F10&gt;=1,3,IF($G10="Blocked",2,IF($G10="Conditional",4,1))),"")</f>
        <v/>
      </c>
      <c r="S10">
        <f>IF(AND($D10&lt;&gt;"",$E10&lt;&gt;"",S$5&gt;=$D10,S$5&lt;=$E10),IF($F10&gt;=1,3,IF($G10="Blocked",2,IF($G10="Conditional",4,1))),"")</f>
        <v/>
      </c>
      <c r="T10">
        <f>IF(AND($D10&lt;&gt;"",$E10&lt;&gt;"",T$5&gt;=$D10,T$5&lt;=$E10),IF($F10&gt;=1,3,IF($G10="Blocked",2,IF($G10="Conditional",4,1))),"")</f>
        <v/>
      </c>
      <c r="U10">
        <f>IF(AND($D10&lt;&gt;"",$E10&lt;&gt;"",U$5&gt;=$D10,U$5&lt;=$E10),IF($F10&gt;=1,3,IF($G10="Blocked",2,IF($G10="Conditional",4,1))),"")</f>
        <v/>
      </c>
      <c r="V10">
        <f>IF(AND($D10&lt;&gt;"",$E10&lt;&gt;"",V$5&gt;=$D10,V$5&lt;=$E10),IF($F10&gt;=1,3,IF($G10="Blocked",2,IF($G10="Conditional",4,1))),"")</f>
        <v/>
      </c>
      <c r="W10">
        <f>IF(AND($D10&lt;&gt;"",$E10&lt;&gt;"",W$5&gt;=$D10,W$5&lt;=$E10),IF($F10&gt;=1,3,IF($G10="Blocked",2,IF($G10="Conditional",4,1))),"")</f>
        <v/>
      </c>
      <c r="X10">
        <f>IF(AND($D10&lt;&gt;"",$E10&lt;&gt;"",X$5&gt;=$D10,X$5&lt;=$E10),IF($F10&gt;=1,3,IF($G10="Blocked",2,IF($G10="Conditional",4,1))),"")</f>
        <v/>
      </c>
      <c r="Y10">
        <f>IF(AND($D10&lt;&gt;"",$E10&lt;&gt;"",Y$5&gt;=$D10,Y$5&lt;=$E10),IF($F10&gt;=1,3,IF($G10="Blocked",2,IF($G10="Conditional",4,1))),"")</f>
        <v/>
      </c>
      <c r="Z10">
        <f>IF(AND($D10&lt;&gt;"",$E10&lt;&gt;"",Z$5&gt;=$D10,Z$5&lt;=$E10),IF($F10&gt;=1,3,IF($G10="Blocked",2,IF($G10="Conditional",4,1))),"")</f>
        <v/>
      </c>
      <c r="AA10">
        <f>IF(AND($D10&lt;&gt;"",$E10&lt;&gt;"",AA$5&gt;=$D10,AA$5&lt;=$E10),IF($F10&gt;=1,3,IF($G10="Blocked",2,IF($G10="Conditional",4,1))),"")</f>
        <v/>
      </c>
      <c r="AB10">
        <f>IF(AND($D10&lt;&gt;"",$E10&lt;&gt;"",AB$5&gt;=$D10,AB$5&lt;=$E10),IF($F10&gt;=1,3,IF($G10="Blocked",2,IF($G10="Conditional",4,1))),"")</f>
        <v/>
      </c>
    </row>
    <row r="11" ht="21.75" customHeight="1">
      <c r="A11" s="12" t="inlineStr">
        <is>
          <t>WS1.5</t>
        </is>
      </c>
      <c r="B11" s="2" t="inlineStr">
        <is>
          <t>Sales &amp; order fulfilment (B2B), dispatch &amp; delivery - channel-aware order model</t>
        </is>
      </c>
      <c r="C11" s="13" t="inlineStr">
        <is>
          <t>Ujjawal</t>
        </is>
      </c>
      <c r="D11" s="13" t="n">
        <v>2</v>
      </c>
      <c r="E11" s="13" t="n">
        <v>5</v>
      </c>
      <c r="F11" s="14" t="n">
        <v>0.05</v>
      </c>
      <c r="G11" s="13" t="inlineStr">
        <is>
          <t>In progress</t>
        </is>
      </c>
      <c r="H11">
        <f>IF(AND($D11&lt;&gt;"",$E11&lt;&gt;"",H$5&gt;=$D11,H$5&lt;=$E11),IF($F11&gt;=1,3,IF($G11="Blocked",2,IF($G11="Conditional",4,1))),"")</f>
        <v/>
      </c>
      <c r="I11" s="15">
        <f>IF(AND($D11&lt;&gt;"",$E11&lt;&gt;"",I$5&gt;=$D11,I$5&lt;=$E11),IF($F11&gt;=1,3,IF($G11="Blocked",2,IF($G11="Conditional",4,1))),"")</f>
        <v/>
      </c>
      <c r="J11">
        <f>IF(AND($D11&lt;&gt;"",$E11&lt;&gt;"",J$5&gt;=$D11,J$5&lt;=$E11),IF($F11&gt;=1,3,IF($G11="Blocked",2,IF($G11="Conditional",4,1))),"")</f>
        <v/>
      </c>
      <c r="K11">
        <f>IF(AND($D11&lt;&gt;"",$E11&lt;&gt;"",K$5&gt;=$D11,K$5&lt;=$E11),IF($F11&gt;=1,3,IF($G11="Blocked",2,IF($G11="Conditional",4,1))),"")</f>
        <v/>
      </c>
      <c r="L11">
        <f>IF(AND($D11&lt;&gt;"",$E11&lt;&gt;"",L$5&gt;=$D11,L$5&lt;=$E11),IF($F11&gt;=1,3,IF($G11="Blocked",2,IF($G11="Conditional",4,1))),"")</f>
        <v/>
      </c>
      <c r="M11">
        <f>IF(AND($D11&lt;&gt;"",$E11&lt;&gt;"",M$5&gt;=$D11,M$5&lt;=$E11),IF($F11&gt;=1,3,IF($G11="Blocked",2,IF($G11="Conditional",4,1))),"")</f>
        <v/>
      </c>
      <c r="N11">
        <f>IF(AND($D11&lt;&gt;"",$E11&lt;&gt;"",N$5&gt;=$D11,N$5&lt;=$E11),IF($F11&gt;=1,3,IF($G11="Blocked",2,IF($G11="Conditional",4,1))),"")</f>
        <v/>
      </c>
      <c r="O11">
        <f>IF(AND($D11&lt;&gt;"",$E11&lt;&gt;"",O$5&gt;=$D11,O$5&lt;=$E11),IF($F11&gt;=1,3,IF($G11="Blocked",2,IF($G11="Conditional",4,1))),"")</f>
        <v/>
      </c>
      <c r="P11">
        <f>IF(AND($D11&lt;&gt;"",$E11&lt;&gt;"",P$5&gt;=$D11,P$5&lt;=$E11),IF($F11&gt;=1,3,IF($G11="Blocked",2,IF($G11="Conditional",4,1))),"")</f>
        <v/>
      </c>
      <c r="Q11">
        <f>IF(AND($D11&lt;&gt;"",$E11&lt;&gt;"",Q$5&gt;=$D11,Q$5&lt;=$E11),IF($F11&gt;=1,3,IF($G11="Blocked",2,IF($G11="Conditional",4,1))),"")</f>
        <v/>
      </c>
      <c r="R11">
        <f>IF(AND($D11&lt;&gt;"",$E11&lt;&gt;"",R$5&gt;=$D11,R$5&lt;=$E11),IF($F11&gt;=1,3,IF($G11="Blocked",2,IF($G11="Conditional",4,1))),"")</f>
        <v/>
      </c>
      <c r="S11">
        <f>IF(AND($D11&lt;&gt;"",$E11&lt;&gt;"",S$5&gt;=$D11,S$5&lt;=$E11),IF($F11&gt;=1,3,IF($G11="Blocked",2,IF($G11="Conditional",4,1))),"")</f>
        <v/>
      </c>
      <c r="T11">
        <f>IF(AND($D11&lt;&gt;"",$E11&lt;&gt;"",T$5&gt;=$D11,T$5&lt;=$E11),IF($F11&gt;=1,3,IF($G11="Blocked",2,IF($G11="Conditional",4,1))),"")</f>
        <v/>
      </c>
      <c r="U11">
        <f>IF(AND($D11&lt;&gt;"",$E11&lt;&gt;"",U$5&gt;=$D11,U$5&lt;=$E11),IF($F11&gt;=1,3,IF($G11="Blocked",2,IF($G11="Conditional",4,1))),"")</f>
        <v/>
      </c>
      <c r="V11">
        <f>IF(AND($D11&lt;&gt;"",$E11&lt;&gt;"",V$5&gt;=$D11,V$5&lt;=$E11),IF($F11&gt;=1,3,IF($G11="Blocked",2,IF($G11="Conditional",4,1))),"")</f>
        <v/>
      </c>
      <c r="W11">
        <f>IF(AND($D11&lt;&gt;"",$E11&lt;&gt;"",W$5&gt;=$D11,W$5&lt;=$E11),IF($F11&gt;=1,3,IF($G11="Blocked",2,IF($G11="Conditional",4,1))),"")</f>
        <v/>
      </c>
      <c r="X11">
        <f>IF(AND($D11&lt;&gt;"",$E11&lt;&gt;"",X$5&gt;=$D11,X$5&lt;=$E11),IF($F11&gt;=1,3,IF($G11="Blocked",2,IF($G11="Conditional",4,1))),"")</f>
        <v/>
      </c>
      <c r="Y11">
        <f>IF(AND($D11&lt;&gt;"",$E11&lt;&gt;"",Y$5&gt;=$D11,Y$5&lt;=$E11),IF($F11&gt;=1,3,IF($G11="Blocked",2,IF($G11="Conditional",4,1))),"")</f>
        <v/>
      </c>
      <c r="Z11">
        <f>IF(AND($D11&lt;&gt;"",$E11&lt;&gt;"",Z$5&gt;=$D11,Z$5&lt;=$E11),IF($F11&gt;=1,3,IF($G11="Blocked",2,IF($G11="Conditional",4,1))),"")</f>
        <v/>
      </c>
      <c r="AA11">
        <f>IF(AND($D11&lt;&gt;"",$E11&lt;&gt;"",AA$5&gt;=$D11,AA$5&lt;=$E11),IF($F11&gt;=1,3,IF($G11="Blocked",2,IF($G11="Conditional",4,1))),"")</f>
        <v/>
      </c>
      <c r="AB11">
        <f>IF(AND($D11&lt;&gt;"",$E11&lt;&gt;"",AB$5&gt;=$D11,AB$5&lt;=$E11),IF($F11&gt;=1,3,IF($G11="Blocked",2,IF($G11="Conditional",4,1))),"")</f>
        <v/>
      </c>
    </row>
    <row r="12" ht="21.75" customHeight="1">
      <c r="A12" s="12" t="inlineStr">
        <is>
          <t>WS1.6</t>
        </is>
      </c>
      <c r="B12" s="2" t="inlineStr">
        <is>
          <t>Channel pricing engine: dated price lists per channel (B2B / B2C)  [NEW - Decision 1]</t>
        </is>
      </c>
      <c r="C12" s="13" t="inlineStr">
        <is>
          <t>Ujjawal</t>
        </is>
      </c>
      <c r="D12" s="13" t="n">
        <v>2</v>
      </c>
      <c r="E12" s="13" t="n">
        <v>3</v>
      </c>
      <c r="F12" s="14" t="n">
        <v>0</v>
      </c>
      <c r="G12" s="13" t="inlineStr">
        <is>
          <t>In progress</t>
        </is>
      </c>
      <c r="H12">
        <f>IF(AND($D12&lt;&gt;"",$E12&lt;&gt;"",H$5&gt;=$D12,H$5&lt;=$E12),IF($F12&gt;=1,3,IF($G12="Blocked",2,IF($G12="Conditional",4,1))),"")</f>
        <v/>
      </c>
      <c r="I12" s="15">
        <f>IF(AND($D12&lt;&gt;"",$E12&lt;&gt;"",I$5&gt;=$D12,I$5&lt;=$E12),IF($F12&gt;=1,3,IF($G12="Blocked",2,IF($G12="Conditional",4,1))),"")</f>
        <v/>
      </c>
      <c r="J12">
        <f>IF(AND($D12&lt;&gt;"",$E12&lt;&gt;"",J$5&gt;=$D12,J$5&lt;=$E12),IF($F12&gt;=1,3,IF($G12="Blocked",2,IF($G12="Conditional",4,1))),"")</f>
        <v/>
      </c>
      <c r="K12">
        <f>IF(AND($D12&lt;&gt;"",$E12&lt;&gt;"",K$5&gt;=$D12,K$5&lt;=$E12),IF($F12&gt;=1,3,IF($G12="Blocked",2,IF($G12="Conditional",4,1))),"")</f>
        <v/>
      </c>
      <c r="L12">
        <f>IF(AND($D12&lt;&gt;"",$E12&lt;&gt;"",L$5&gt;=$D12,L$5&lt;=$E12),IF($F12&gt;=1,3,IF($G12="Blocked",2,IF($G12="Conditional",4,1))),"")</f>
        <v/>
      </c>
      <c r="M12">
        <f>IF(AND($D12&lt;&gt;"",$E12&lt;&gt;"",M$5&gt;=$D12,M$5&lt;=$E12),IF($F12&gt;=1,3,IF($G12="Blocked",2,IF($G12="Conditional",4,1))),"")</f>
        <v/>
      </c>
      <c r="N12">
        <f>IF(AND($D12&lt;&gt;"",$E12&lt;&gt;"",N$5&gt;=$D12,N$5&lt;=$E12),IF($F12&gt;=1,3,IF($G12="Blocked",2,IF($G12="Conditional",4,1))),"")</f>
        <v/>
      </c>
      <c r="O12">
        <f>IF(AND($D12&lt;&gt;"",$E12&lt;&gt;"",O$5&gt;=$D12,O$5&lt;=$E12),IF($F12&gt;=1,3,IF($G12="Blocked",2,IF($G12="Conditional",4,1))),"")</f>
        <v/>
      </c>
      <c r="P12">
        <f>IF(AND($D12&lt;&gt;"",$E12&lt;&gt;"",P$5&gt;=$D12,P$5&lt;=$E12),IF($F12&gt;=1,3,IF($G12="Blocked",2,IF($G12="Conditional",4,1))),"")</f>
        <v/>
      </c>
      <c r="Q12">
        <f>IF(AND($D12&lt;&gt;"",$E12&lt;&gt;"",Q$5&gt;=$D12,Q$5&lt;=$E12),IF($F12&gt;=1,3,IF($G12="Blocked",2,IF($G12="Conditional",4,1))),"")</f>
        <v/>
      </c>
      <c r="R12">
        <f>IF(AND($D12&lt;&gt;"",$E12&lt;&gt;"",R$5&gt;=$D12,R$5&lt;=$E12),IF($F12&gt;=1,3,IF($G12="Blocked",2,IF($G12="Conditional",4,1))),"")</f>
        <v/>
      </c>
      <c r="S12">
        <f>IF(AND($D12&lt;&gt;"",$E12&lt;&gt;"",S$5&gt;=$D12,S$5&lt;=$E12),IF($F12&gt;=1,3,IF($G12="Blocked",2,IF($G12="Conditional",4,1))),"")</f>
        <v/>
      </c>
      <c r="T12">
        <f>IF(AND($D12&lt;&gt;"",$E12&lt;&gt;"",T$5&gt;=$D12,T$5&lt;=$E12),IF($F12&gt;=1,3,IF($G12="Blocked",2,IF($G12="Conditional",4,1))),"")</f>
        <v/>
      </c>
      <c r="U12">
        <f>IF(AND($D12&lt;&gt;"",$E12&lt;&gt;"",U$5&gt;=$D12,U$5&lt;=$E12),IF($F12&gt;=1,3,IF($G12="Blocked",2,IF($G12="Conditional",4,1))),"")</f>
        <v/>
      </c>
      <c r="V12">
        <f>IF(AND($D12&lt;&gt;"",$E12&lt;&gt;"",V$5&gt;=$D12,V$5&lt;=$E12),IF($F12&gt;=1,3,IF($G12="Blocked",2,IF($G12="Conditional",4,1))),"")</f>
        <v/>
      </c>
      <c r="W12">
        <f>IF(AND($D12&lt;&gt;"",$E12&lt;&gt;"",W$5&gt;=$D12,W$5&lt;=$E12),IF($F12&gt;=1,3,IF($G12="Blocked",2,IF($G12="Conditional",4,1))),"")</f>
        <v/>
      </c>
      <c r="X12">
        <f>IF(AND($D12&lt;&gt;"",$E12&lt;&gt;"",X$5&gt;=$D12,X$5&lt;=$E12),IF($F12&gt;=1,3,IF($G12="Blocked",2,IF($G12="Conditional",4,1))),"")</f>
        <v/>
      </c>
      <c r="Y12">
        <f>IF(AND($D12&lt;&gt;"",$E12&lt;&gt;"",Y$5&gt;=$D12,Y$5&lt;=$E12),IF($F12&gt;=1,3,IF($G12="Blocked",2,IF($G12="Conditional",4,1))),"")</f>
        <v/>
      </c>
      <c r="Z12">
        <f>IF(AND($D12&lt;&gt;"",$E12&lt;&gt;"",Z$5&gt;=$D12,Z$5&lt;=$E12),IF($F12&gt;=1,3,IF($G12="Blocked",2,IF($G12="Conditional",4,1))),"")</f>
        <v/>
      </c>
      <c r="AA12">
        <f>IF(AND($D12&lt;&gt;"",$E12&lt;&gt;"",AA$5&gt;=$D12,AA$5&lt;=$E12),IF($F12&gt;=1,3,IF($G12="Blocked",2,IF($G12="Conditional",4,1))),"")</f>
        <v/>
      </c>
      <c r="AB12">
        <f>IF(AND($D12&lt;&gt;"",$E12&lt;&gt;"",AB$5&gt;=$D12,AB$5&lt;=$E12),IF($F12&gt;=1,3,IF($G12="Blocked",2,IF($G12="Conditional",4,1))),"")</f>
        <v/>
      </c>
    </row>
    <row r="13" ht="21.75" customHeight="1">
      <c r="A13" s="12" t="inlineStr">
        <is>
          <t>WS1.7</t>
        </is>
      </c>
      <c r="B13" s="2" t="inlineStr">
        <is>
          <t>Consumer (B2C) commerce APIs: accounts, cart, checkout, order tracking  [NEW - Decision 1]</t>
        </is>
      </c>
      <c r="C13" s="13" t="inlineStr">
        <is>
          <t>Ujjawal</t>
        </is>
      </c>
      <c r="D13" s="13" t="n">
        <v>5</v>
      </c>
      <c r="E13" s="13" t="n">
        <v>7</v>
      </c>
      <c r="F13" s="14" t="n">
        <v>0</v>
      </c>
      <c r="G13" s="13" t="inlineStr">
        <is>
          <t>Conditional</t>
        </is>
      </c>
      <c r="H13">
        <f>IF(AND($D13&lt;&gt;"",$E13&lt;&gt;"",H$5&gt;=$D13,H$5&lt;=$E13),IF($F13&gt;=1,3,IF($G13="Blocked",2,IF($G13="Conditional",4,1))),"")</f>
        <v/>
      </c>
      <c r="I13" s="15">
        <f>IF(AND($D13&lt;&gt;"",$E13&lt;&gt;"",I$5&gt;=$D13,I$5&lt;=$E13),IF($F13&gt;=1,3,IF($G13="Blocked",2,IF($G13="Conditional",4,1))),"")</f>
        <v/>
      </c>
      <c r="J13">
        <f>IF(AND($D13&lt;&gt;"",$E13&lt;&gt;"",J$5&gt;=$D13,J$5&lt;=$E13),IF($F13&gt;=1,3,IF($G13="Blocked",2,IF($G13="Conditional",4,1))),"")</f>
        <v/>
      </c>
      <c r="K13">
        <f>IF(AND($D13&lt;&gt;"",$E13&lt;&gt;"",K$5&gt;=$D13,K$5&lt;=$E13),IF($F13&gt;=1,3,IF($G13="Blocked",2,IF($G13="Conditional",4,1))),"")</f>
        <v/>
      </c>
      <c r="L13">
        <f>IF(AND($D13&lt;&gt;"",$E13&lt;&gt;"",L$5&gt;=$D13,L$5&lt;=$E13),IF($F13&gt;=1,3,IF($G13="Blocked",2,IF($G13="Conditional",4,1))),"")</f>
        <v/>
      </c>
      <c r="M13">
        <f>IF(AND($D13&lt;&gt;"",$E13&lt;&gt;"",M$5&gt;=$D13,M$5&lt;=$E13),IF($F13&gt;=1,3,IF($G13="Blocked",2,IF($G13="Conditional",4,1))),"")</f>
        <v/>
      </c>
      <c r="N13">
        <f>IF(AND($D13&lt;&gt;"",$E13&lt;&gt;"",N$5&gt;=$D13,N$5&lt;=$E13),IF($F13&gt;=1,3,IF($G13="Blocked",2,IF($G13="Conditional",4,1))),"")</f>
        <v/>
      </c>
      <c r="O13">
        <f>IF(AND($D13&lt;&gt;"",$E13&lt;&gt;"",O$5&gt;=$D13,O$5&lt;=$E13),IF($F13&gt;=1,3,IF($G13="Blocked",2,IF($G13="Conditional",4,1))),"")</f>
        <v/>
      </c>
      <c r="P13">
        <f>IF(AND($D13&lt;&gt;"",$E13&lt;&gt;"",P$5&gt;=$D13,P$5&lt;=$E13),IF($F13&gt;=1,3,IF($G13="Blocked",2,IF($G13="Conditional",4,1))),"")</f>
        <v/>
      </c>
      <c r="Q13">
        <f>IF(AND($D13&lt;&gt;"",$E13&lt;&gt;"",Q$5&gt;=$D13,Q$5&lt;=$E13),IF($F13&gt;=1,3,IF($G13="Blocked",2,IF($G13="Conditional",4,1))),"")</f>
        <v/>
      </c>
      <c r="R13">
        <f>IF(AND($D13&lt;&gt;"",$E13&lt;&gt;"",R$5&gt;=$D13,R$5&lt;=$E13),IF($F13&gt;=1,3,IF($G13="Blocked",2,IF($G13="Conditional",4,1))),"")</f>
        <v/>
      </c>
      <c r="S13">
        <f>IF(AND($D13&lt;&gt;"",$E13&lt;&gt;"",S$5&gt;=$D13,S$5&lt;=$E13),IF($F13&gt;=1,3,IF($G13="Blocked",2,IF($G13="Conditional",4,1))),"")</f>
        <v/>
      </c>
      <c r="T13">
        <f>IF(AND($D13&lt;&gt;"",$E13&lt;&gt;"",T$5&gt;=$D13,T$5&lt;=$E13),IF($F13&gt;=1,3,IF($G13="Blocked",2,IF($G13="Conditional",4,1))),"")</f>
        <v/>
      </c>
      <c r="U13">
        <f>IF(AND($D13&lt;&gt;"",$E13&lt;&gt;"",U$5&gt;=$D13,U$5&lt;=$E13),IF($F13&gt;=1,3,IF($G13="Blocked",2,IF($G13="Conditional",4,1))),"")</f>
        <v/>
      </c>
      <c r="V13">
        <f>IF(AND($D13&lt;&gt;"",$E13&lt;&gt;"",V$5&gt;=$D13,V$5&lt;=$E13),IF($F13&gt;=1,3,IF($G13="Blocked",2,IF($G13="Conditional",4,1))),"")</f>
        <v/>
      </c>
      <c r="W13">
        <f>IF(AND($D13&lt;&gt;"",$E13&lt;&gt;"",W$5&gt;=$D13,W$5&lt;=$E13),IF($F13&gt;=1,3,IF($G13="Blocked",2,IF($G13="Conditional",4,1))),"")</f>
        <v/>
      </c>
      <c r="X13">
        <f>IF(AND($D13&lt;&gt;"",$E13&lt;&gt;"",X$5&gt;=$D13,X$5&lt;=$E13),IF($F13&gt;=1,3,IF($G13="Blocked",2,IF($G13="Conditional",4,1))),"")</f>
        <v/>
      </c>
      <c r="Y13">
        <f>IF(AND($D13&lt;&gt;"",$E13&lt;&gt;"",Y$5&gt;=$D13,Y$5&lt;=$E13),IF($F13&gt;=1,3,IF($G13="Blocked",2,IF($G13="Conditional",4,1))),"")</f>
        <v/>
      </c>
      <c r="Z13">
        <f>IF(AND($D13&lt;&gt;"",$E13&lt;&gt;"",Z$5&gt;=$D13,Z$5&lt;=$E13),IF($F13&gt;=1,3,IF($G13="Blocked",2,IF($G13="Conditional",4,1))),"")</f>
        <v/>
      </c>
      <c r="AA13">
        <f>IF(AND($D13&lt;&gt;"",$E13&lt;&gt;"",AA$5&gt;=$D13,AA$5&lt;=$E13),IF($F13&gt;=1,3,IF($G13="Blocked",2,IF($G13="Conditional",4,1))),"")</f>
        <v/>
      </c>
      <c r="AB13">
        <f>IF(AND($D13&lt;&gt;"",$E13&lt;&gt;"",AB$5&gt;=$D13,AB$5&lt;=$E13),IF($F13&gt;=1,3,IF($G13="Blocked",2,IF($G13="Conditional",4,1))),"")</f>
        <v/>
      </c>
    </row>
    <row r="14" ht="21.75" customHeight="1">
      <c r="A14" s="12" t="inlineStr">
        <is>
          <t>WS1.8</t>
        </is>
      </c>
      <c r="B14" s="2" t="inlineStr">
        <is>
          <t>Customer feedback, complaints &amp; analytics</t>
        </is>
      </c>
      <c r="C14" s="13" t="inlineStr">
        <is>
          <t>Ujjawal</t>
        </is>
      </c>
      <c r="D14" s="13" t="n">
        <v>7</v>
      </c>
      <c r="E14" s="13" t="n">
        <v>8</v>
      </c>
      <c r="F14" s="14" t="n">
        <v>0</v>
      </c>
      <c r="G14" s="13" t="inlineStr">
        <is>
          <t>Not started</t>
        </is>
      </c>
      <c r="H14">
        <f>IF(AND($D14&lt;&gt;"",$E14&lt;&gt;"",H$5&gt;=$D14,H$5&lt;=$E14),IF($F14&gt;=1,3,IF($G14="Blocked",2,IF($G14="Conditional",4,1))),"")</f>
        <v/>
      </c>
      <c r="I14" s="15">
        <f>IF(AND($D14&lt;&gt;"",$E14&lt;&gt;"",I$5&gt;=$D14,I$5&lt;=$E14),IF($F14&gt;=1,3,IF($G14="Blocked",2,IF($G14="Conditional",4,1))),"")</f>
        <v/>
      </c>
      <c r="J14">
        <f>IF(AND($D14&lt;&gt;"",$E14&lt;&gt;"",J$5&gt;=$D14,J$5&lt;=$E14),IF($F14&gt;=1,3,IF($G14="Blocked",2,IF($G14="Conditional",4,1))),"")</f>
        <v/>
      </c>
      <c r="K14">
        <f>IF(AND($D14&lt;&gt;"",$E14&lt;&gt;"",K$5&gt;=$D14,K$5&lt;=$E14),IF($F14&gt;=1,3,IF($G14="Blocked",2,IF($G14="Conditional",4,1))),"")</f>
        <v/>
      </c>
      <c r="L14">
        <f>IF(AND($D14&lt;&gt;"",$E14&lt;&gt;"",L$5&gt;=$D14,L$5&lt;=$E14),IF($F14&gt;=1,3,IF($G14="Blocked",2,IF($G14="Conditional",4,1))),"")</f>
        <v/>
      </c>
      <c r="M14">
        <f>IF(AND($D14&lt;&gt;"",$E14&lt;&gt;"",M$5&gt;=$D14,M$5&lt;=$E14),IF($F14&gt;=1,3,IF($G14="Blocked",2,IF($G14="Conditional",4,1))),"")</f>
        <v/>
      </c>
      <c r="N14">
        <f>IF(AND($D14&lt;&gt;"",$E14&lt;&gt;"",N$5&gt;=$D14,N$5&lt;=$E14),IF($F14&gt;=1,3,IF($G14="Blocked",2,IF($G14="Conditional",4,1))),"")</f>
        <v/>
      </c>
      <c r="O14">
        <f>IF(AND($D14&lt;&gt;"",$E14&lt;&gt;"",O$5&gt;=$D14,O$5&lt;=$E14),IF($F14&gt;=1,3,IF($G14="Blocked",2,IF($G14="Conditional",4,1))),"")</f>
        <v/>
      </c>
      <c r="P14">
        <f>IF(AND($D14&lt;&gt;"",$E14&lt;&gt;"",P$5&gt;=$D14,P$5&lt;=$E14),IF($F14&gt;=1,3,IF($G14="Blocked",2,IF($G14="Conditional",4,1))),"")</f>
        <v/>
      </c>
      <c r="Q14">
        <f>IF(AND($D14&lt;&gt;"",$E14&lt;&gt;"",Q$5&gt;=$D14,Q$5&lt;=$E14),IF($F14&gt;=1,3,IF($G14="Blocked",2,IF($G14="Conditional",4,1))),"")</f>
        <v/>
      </c>
      <c r="R14">
        <f>IF(AND($D14&lt;&gt;"",$E14&lt;&gt;"",R$5&gt;=$D14,R$5&lt;=$E14),IF($F14&gt;=1,3,IF($G14="Blocked",2,IF($G14="Conditional",4,1))),"")</f>
        <v/>
      </c>
      <c r="S14">
        <f>IF(AND($D14&lt;&gt;"",$E14&lt;&gt;"",S$5&gt;=$D14,S$5&lt;=$E14),IF($F14&gt;=1,3,IF($G14="Blocked",2,IF($G14="Conditional",4,1))),"")</f>
        <v/>
      </c>
      <c r="T14">
        <f>IF(AND($D14&lt;&gt;"",$E14&lt;&gt;"",T$5&gt;=$D14,T$5&lt;=$E14),IF($F14&gt;=1,3,IF($G14="Blocked",2,IF($G14="Conditional",4,1))),"")</f>
        <v/>
      </c>
      <c r="U14">
        <f>IF(AND($D14&lt;&gt;"",$E14&lt;&gt;"",U$5&gt;=$D14,U$5&lt;=$E14),IF($F14&gt;=1,3,IF($G14="Blocked",2,IF($G14="Conditional",4,1))),"")</f>
        <v/>
      </c>
      <c r="V14">
        <f>IF(AND($D14&lt;&gt;"",$E14&lt;&gt;"",V$5&gt;=$D14,V$5&lt;=$E14),IF($F14&gt;=1,3,IF($G14="Blocked",2,IF($G14="Conditional",4,1))),"")</f>
        <v/>
      </c>
      <c r="W14">
        <f>IF(AND($D14&lt;&gt;"",$E14&lt;&gt;"",W$5&gt;=$D14,W$5&lt;=$E14),IF($F14&gt;=1,3,IF($G14="Blocked",2,IF($G14="Conditional",4,1))),"")</f>
        <v/>
      </c>
      <c r="X14">
        <f>IF(AND($D14&lt;&gt;"",$E14&lt;&gt;"",X$5&gt;=$D14,X$5&lt;=$E14),IF($F14&gt;=1,3,IF($G14="Blocked",2,IF($G14="Conditional",4,1))),"")</f>
        <v/>
      </c>
      <c r="Y14">
        <f>IF(AND($D14&lt;&gt;"",$E14&lt;&gt;"",Y$5&gt;=$D14,Y$5&lt;=$E14),IF($F14&gt;=1,3,IF($G14="Blocked",2,IF($G14="Conditional",4,1))),"")</f>
        <v/>
      </c>
      <c r="Z14">
        <f>IF(AND($D14&lt;&gt;"",$E14&lt;&gt;"",Z$5&gt;=$D14,Z$5&lt;=$E14),IF($F14&gt;=1,3,IF($G14="Blocked",2,IF($G14="Conditional",4,1))),"")</f>
        <v/>
      </c>
      <c r="AA14">
        <f>IF(AND($D14&lt;&gt;"",$E14&lt;&gt;"",AA$5&gt;=$D14,AA$5&lt;=$E14),IF($F14&gt;=1,3,IF($G14="Blocked",2,IF($G14="Conditional",4,1))),"")</f>
        <v/>
      </c>
      <c r="AB14">
        <f>IF(AND($D14&lt;&gt;"",$E14&lt;&gt;"",AB$5&gt;=$D14,AB$5&lt;=$E14),IF($F14&gt;=1,3,IF($G14="Blocked",2,IF($G14="Conditional",4,1))),"")</f>
        <v/>
      </c>
    </row>
    <row r="15" ht="21.75" customHeight="1">
      <c r="A15" s="12" t="inlineStr">
        <is>
          <t>WS1.9</t>
        </is>
      </c>
      <c r="B15" s="2" t="inlineStr">
        <is>
          <t>Notifications, document management &amp; reporting engine</t>
        </is>
      </c>
      <c r="C15" s="13" t="inlineStr">
        <is>
          <t>Ujjawal</t>
        </is>
      </c>
      <c r="D15" s="13" t="n">
        <v>8</v>
      </c>
      <c r="E15" s="13" t="n">
        <v>9</v>
      </c>
      <c r="F15" s="14" t="n">
        <v>0</v>
      </c>
      <c r="G15" s="13" t="inlineStr">
        <is>
          <t>Not started</t>
        </is>
      </c>
      <c r="H15">
        <f>IF(AND($D15&lt;&gt;"",$E15&lt;&gt;"",H$5&gt;=$D15,H$5&lt;=$E15),IF($F15&gt;=1,3,IF($G15="Blocked",2,IF($G15="Conditional",4,1))),"")</f>
        <v/>
      </c>
      <c r="I15" s="15">
        <f>IF(AND($D15&lt;&gt;"",$E15&lt;&gt;"",I$5&gt;=$D15,I$5&lt;=$E15),IF($F15&gt;=1,3,IF($G15="Blocked",2,IF($G15="Conditional",4,1))),"")</f>
        <v/>
      </c>
      <c r="J15">
        <f>IF(AND($D15&lt;&gt;"",$E15&lt;&gt;"",J$5&gt;=$D15,J$5&lt;=$E15),IF($F15&gt;=1,3,IF($G15="Blocked",2,IF($G15="Conditional",4,1))),"")</f>
        <v/>
      </c>
      <c r="K15">
        <f>IF(AND($D15&lt;&gt;"",$E15&lt;&gt;"",K$5&gt;=$D15,K$5&lt;=$E15),IF($F15&gt;=1,3,IF($G15="Blocked",2,IF($G15="Conditional",4,1))),"")</f>
        <v/>
      </c>
      <c r="L15">
        <f>IF(AND($D15&lt;&gt;"",$E15&lt;&gt;"",L$5&gt;=$D15,L$5&lt;=$E15),IF($F15&gt;=1,3,IF($G15="Blocked",2,IF($G15="Conditional",4,1))),"")</f>
        <v/>
      </c>
      <c r="M15">
        <f>IF(AND($D15&lt;&gt;"",$E15&lt;&gt;"",M$5&gt;=$D15,M$5&lt;=$E15),IF($F15&gt;=1,3,IF($G15="Blocked",2,IF($G15="Conditional",4,1))),"")</f>
        <v/>
      </c>
      <c r="N15">
        <f>IF(AND($D15&lt;&gt;"",$E15&lt;&gt;"",N$5&gt;=$D15,N$5&lt;=$E15),IF($F15&gt;=1,3,IF($G15="Blocked",2,IF($G15="Conditional",4,1))),"")</f>
        <v/>
      </c>
      <c r="O15">
        <f>IF(AND($D15&lt;&gt;"",$E15&lt;&gt;"",O$5&gt;=$D15,O$5&lt;=$E15),IF($F15&gt;=1,3,IF($G15="Blocked",2,IF($G15="Conditional",4,1))),"")</f>
        <v/>
      </c>
      <c r="P15">
        <f>IF(AND($D15&lt;&gt;"",$E15&lt;&gt;"",P$5&gt;=$D15,P$5&lt;=$E15),IF($F15&gt;=1,3,IF($G15="Blocked",2,IF($G15="Conditional",4,1))),"")</f>
        <v/>
      </c>
      <c r="Q15">
        <f>IF(AND($D15&lt;&gt;"",$E15&lt;&gt;"",Q$5&gt;=$D15,Q$5&lt;=$E15),IF($F15&gt;=1,3,IF($G15="Blocked",2,IF($G15="Conditional",4,1))),"")</f>
        <v/>
      </c>
      <c r="R15">
        <f>IF(AND($D15&lt;&gt;"",$E15&lt;&gt;"",R$5&gt;=$D15,R$5&lt;=$E15),IF($F15&gt;=1,3,IF($G15="Blocked",2,IF($G15="Conditional",4,1))),"")</f>
        <v/>
      </c>
      <c r="S15">
        <f>IF(AND($D15&lt;&gt;"",$E15&lt;&gt;"",S$5&gt;=$D15,S$5&lt;=$E15),IF($F15&gt;=1,3,IF($G15="Blocked",2,IF($G15="Conditional",4,1))),"")</f>
        <v/>
      </c>
      <c r="T15">
        <f>IF(AND($D15&lt;&gt;"",$E15&lt;&gt;"",T$5&gt;=$D15,T$5&lt;=$E15),IF($F15&gt;=1,3,IF($G15="Blocked",2,IF($G15="Conditional",4,1))),"")</f>
        <v/>
      </c>
      <c r="U15">
        <f>IF(AND($D15&lt;&gt;"",$E15&lt;&gt;"",U$5&gt;=$D15,U$5&lt;=$E15),IF($F15&gt;=1,3,IF($G15="Blocked",2,IF($G15="Conditional",4,1))),"")</f>
        <v/>
      </c>
      <c r="V15">
        <f>IF(AND($D15&lt;&gt;"",$E15&lt;&gt;"",V$5&gt;=$D15,V$5&lt;=$E15),IF($F15&gt;=1,3,IF($G15="Blocked",2,IF($G15="Conditional",4,1))),"")</f>
        <v/>
      </c>
      <c r="W15">
        <f>IF(AND($D15&lt;&gt;"",$E15&lt;&gt;"",W$5&gt;=$D15,W$5&lt;=$E15),IF($F15&gt;=1,3,IF($G15="Blocked",2,IF($G15="Conditional",4,1))),"")</f>
        <v/>
      </c>
      <c r="X15">
        <f>IF(AND($D15&lt;&gt;"",$E15&lt;&gt;"",X$5&gt;=$D15,X$5&lt;=$E15),IF($F15&gt;=1,3,IF($G15="Blocked",2,IF($G15="Conditional",4,1))),"")</f>
        <v/>
      </c>
      <c r="Y15">
        <f>IF(AND($D15&lt;&gt;"",$E15&lt;&gt;"",Y$5&gt;=$D15,Y$5&lt;=$E15),IF($F15&gt;=1,3,IF($G15="Blocked",2,IF($G15="Conditional",4,1))),"")</f>
        <v/>
      </c>
      <c r="Z15">
        <f>IF(AND($D15&lt;&gt;"",$E15&lt;&gt;"",Z$5&gt;=$D15,Z$5&lt;=$E15),IF($F15&gt;=1,3,IF($G15="Blocked",2,IF($G15="Conditional",4,1))),"")</f>
        <v/>
      </c>
      <c r="AA15">
        <f>IF(AND($D15&lt;&gt;"",$E15&lt;&gt;"",AA$5&gt;=$D15,AA$5&lt;=$E15),IF($F15&gt;=1,3,IF($G15="Blocked",2,IF($G15="Conditional",4,1))),"")</f>
        <v/>
      </c>
      <c r="AB15">
        <f>IF(AND($D15&lt;&gt;"",$E15&lt;&gt;"",AB$5&gt;=$D15,AB$5&lt;=$E15),IF($F15&gt;=1,3,IF($G15="Blocked",2,IF($G15="Conditional",4,1))),"")</f>
        <v/>
      </c>
    </row>
    <row r="16" ht="21.75" customHeight="1">
      <c r="A16" s="8" t="inlineStr">
        <is>
          <t>WS2</t>
        </is>
      </c>
      <c r="B16" s="9" t="inlineStr">
        <is>
          <t>ADMIN WEB PANEL (FRONTEND)</t>
        </is>
      </c>
      <c r="C16" s="10" t="n"/>
      <c r="D16" s="10" t="n"/>
      <c r="E16" s="10" t="n"/>
      <c r="F16" s="10" t="n"/>
      <c r="G16" s="10" t="n"/>
      <c r="H16" s="10" t="n"/>
      <c r="I16" s="11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21.75" customHeight="1">
      <c r="A17" s="12" t="inlineStr">
        <is>
          <t>WS2.1</t>
        </is>
      </c>
      <c r="B17" s="2" t="inlineStr">
        <is>
          <t>Panel scaffolding, auth, role-based navigation</t>
        </is>
      </c>
      <c r="C17" s="13" t="inlineStr">
        <is>
          <t>Raunak</t>
        </is>
      </c>
      <c r="D17" s="13" t="n">
        <v>2</v>
      </c>
      <c r="E17" s="13" t="n">
        <v>4</v>
      </c>
      <c r="F17" s="14" t="n">
        <v>0</v>
      </c>
      <c r="G17" s="13" t="inlineStr">
        <is>
          <t>Not started</t>
        </is>
      </c>
      <c r="H17">
        <f>IF(AND($D17&lt;&gt;"",$E17&lt;&gt;"",H$5&gt;=$D17,H$5&lt;=$E17),IF($F17&gt;=1,3,IF($G17="Blocked",2,IF($G17="Conditional",4,1))),"")</f>
        <v/>
      </c>
      <c r="I17" s="15">
        <f>IF(AND($D17&lt;&gt;"",$E17&lt;&gt;"",I$5&gt;=$D17,I$5&lt;=$E17),IF($F17&gt;=1,3,IF($G17="Blocked",2,IF($G17="Conditional",4,1))),"")</f>
        <v/>
      </c>
      <c r="J17">
        <f>IF(AND($D17&lt;&gt;"",$E17&lt;&gt;"",J$5&gt;=$D17,J$5&lt;=$E17),IF($F17&gt;=1,3,IF($G17="Blocked",2,IF($G17="Conditional",4,1))),"")</f>
        <v/>
      </c>
      <c r="K17">
        <f>IF(AND($D17&lt;&gt;"",$E17&lt;&gt;"",K$5&gt;=$D17,K$5&lt;=$E17),IF($F17&gt;=1,3,IF($G17="Blocked",2,IF($G17="Conditional",4,1))),"")</f>
        <v/>
      </c>
      <c r="L17">
        <f>IF(AND($D17&lt;&gt;"",$E17&lt;&gt;"",L$5&gt;=$D17,L$5&lt;=$E17),IF($F17&gt;=1,3,IF($G17="Blocked",2,IF($G17="Conditional",4,1))),"")</f>
        <v/>
      </c>
      <c r="M17">
        <f>IF(AND($D17&lt;&gt;"",$E17&lt;&gt;"",M$5&gt;=$D17,M$5&lt;=$E17),IF($F17&gt;=1,3,IF($G17="Blocked",2,IF($G17="Conditional",4,1))),"")</f>
        <v/>
      </c>
      <c r="N17">
        <f>IF(AND($D17&lt;&gt;"",$E17&lt;&gt;"",N$5&gt;=$D17,N$5&lt;=$E17),IF($F17&gt;=1,3,IF($G17="Blocked",2,IF($G17="Conditional",4,1))),"")</f>
        <v/>
      </c>
      <c r="O17">
        <f>IF(AND($D17&lt;&gt;"",$E17&lt;&gt;"",O$5&gt;=$D17,O$5&lt;=$E17),IF($F17&gt;=1,3,IF($G17="Blocked",2,IF($G17="Conditional",4,1))),"")</f>
        <v/>
      </c>
      <c r="P17">
        <f>IF(AND($D17&lt;&gt;"",$E17&lt;&gt;"",P$5&gt;=$D17,P$5&lt;=$E17),IF($F17&gt;=1,3,IF($G17="Blocked",2,IF($G17="Conditional",4,1))),"")</f>
        <v/>
      </c>
      <c r="Q17">
        <f>IF(AND($D17&lt;&gt;"",$E17&lt;&gt;"",Q$5&gt;=$D17,Q$5&lt;=$E17),IF($F17&gt;=1,3,IF($G17="Blocked",2,IF($G17="Conditional",4,1))),"")</f>
        <v/>
      </c>
      <c r="R17">
        <f>IF(AND($D17&lt;&gt;"",$E17&lt;&gt;"",R$5&gt;=$D17,R$5&lt;=$E17),IF($F17&gt;=1,3,IF($G17="Blocked",2,IF($G17="Conditional",4,1))),"")</f>
        <v/>
      </c>
      <c r="S17">
        <f>IF(AND($D17&lt;&gt;"",$E17&lt;&gt;"",S$5&gt;=$D17,S$5&lt;=$E17),IF($F17&gt;=1,3,IF($G17="Blocked",2,IF($G17="Conditional",4,1))),"")</f>
        <v/>
      </c>
      <c r="T17">
        <f>IF(AND($D17&lt;&gt;"",$E17&lt;&gt;"",T$5&gt;=$D17,T$5&lt;=$E17),IF($F17&gt;=1,3,IF($G17="Blocked",2,IF($G17="Conditional",4,1))),"")</f>
        <v/>
      </c>
      <c r="U17">
        <f>IF(AND($D17&lt;&gt;"",$E17&lt;&gt;"",U$5&gt;=$D17,U$5&lt;=$E17),IF($F17&gt;=1,3,IF($G17="Blocked",2,IF($G17="Conditional",4,1))),"")</f>
        <v/>
      </c>
      <c r="V17">
        <f>IF(AND($D17&lt;&gt;"",$E17&lt;&gt;"",V$5&gt;=$D17,V$5&lt;=$E17),IF($F17&gt;=1,3,IF($G17="Blocked",2,IF($G17="Conditional",4,1))),"")</f>
        <v/>
      </c>
      <c r="W17">
        <f>IF(AND($D17&lt;&gt;"",$E17&lt;&gt;"",W$5&gt;=$D17,W$5&lt;=$E17),IF($F17&gt;=1,3,IF($G17="Blocked",2,IF($G17="Conditional",4,1))),"")</f>
        <v/>
      </c>
      <c r="X17">
        <f>IF(AND($D17&lt;&gt;"",$E17&lt;&gt;"",X$5&gt;=$D17,X$5&lt;=$E17),IF($F17&gt;=1,3,IF($G17="Blocked",2,IF($G17="Conditional",4,1))),"")</f>
        <v/>
      </c>
      <c r="Y17">
        <f>IF(AND($D17&lt;&gt;"",$E17&lt;&gt;"",Y$5&gt;=$D17,Y$5&lt;=$E17),IF($F17&gt;=1,3,IF($G17="Blocked",2,IF($G17="Conditional",4,1))),"")</f>
        <v/>
      </c>
      <c r="Z17">
        <f>IF(AND($D17&lt;&gt;"",$E17&lt;&gt;"",Z$5&gt;=$D17,Z$5&lt;=$E17),IF($F17&gt;=1,3,IF($G17="Blocked",2,IF($G17="Conditional",4,1))),"")</f>
        <v/>
      </c>
      <c r="AA17">
        <f>IF(AND($D17&lt;&gt;"",$E17&lt;&gt;"",AA$5&gt;=$D17,AA$5&lt;=$E17),IF($F17&gt;=1,3,IF($G17="Blocked",2,IF($G17="Conditional",4,1))),"")</f>
        <v/>
      </c>
      <c r="AB17">
        <f>IF(AND($D17&lt;&gt;"",$E17&lt;&gt;"",AB$5&gt;=$D17,AB$5&lt;=$E17),IF($F17&gt;=1,3,IF($G17="Blocked",2,IF($G17="Conditional",4,1))),"")</f>
        <v/>
      </c>
    </row>
    <row r="18" ht="21.75" customHeight="1">
      <c r="A18" s="12" t="inlineStr">
        <is>
          <t>WS2.2</t>
        </is>
      </c>
      <c r="B18" s="2" t="inlineStr">
        <is>
          <t>Master data, farmer &amp; channel pricing screens</t>
        </is>
      </c>
      <c r="C18" s="13" t="inlineStr">
        <is>
          <t>Raunak</t>
        </is>
      </c>
      <c r="D18" s="13" t="n">
        <v>4</v>
      </c>
      <c r="E18" s="13" t="n">
        <v>6</v>
      </c>
      <c r="F18" s="14" t="n">
        <v>0</v>
      </c>
      <c r="G18" s="13" t="inlineStr">
        <is>
          <t>Not started</t>
        </is>
      </c>
      <c r="H18">
        <f>IF(AND($D18&lt;&gt;"",$E18&lt;&gt;"",H$5&gt;=$D18,H$5&lt;=$E18),IF($F18&gt;=1,3,IF($G18="Blocked",2,IF($G18="Conditional",4,1))),"")</f>
        <v/>
      </c>
      <c r="I18" s="15">
        <f>IF(AND($D18&lt;&gt;"",$E18&lt;&gt;"",I$5&gt;=$D18,I$5&lt;=$E18),IF($F18&gt;=1,3,IF($G18="Blocked",2,IF($G18="Conditional",4,1))),"")</f>
        <v/>
      </c>
      <c r="J18">
        <f>IF(AND($D18&lt;&gt;"",$E18&lt;&gt;"",J$5&gt;=$D18,J$5&lt;=$E18),IF($F18&gt;=1,3,IF($G18="Blocked",2,IF($G18="Conditional",4,1))),"")</f>
        <v/>
      </c>
      <c r="K18">
        <f>IF(AND($D18&lt;&gt;"",$E18&lt;&gt;"",K$5&gt;=$D18,K$5&lt;=$E18),IF($F18&gt;=1,3,IF($G18="Blocked",2,IF($G18="Conditional",4,1))),"")</f>
        <v/>
      </c>
      <c r="L18">
        <f>IF(AND($D18&lt;&gt;"",$E18&lt;&gt;"",L$5&gt;=$D18,L$5&lt;=$E18),IF($F18&gt;=1,3,IF($G18="Blocked",2,IF($G18="Conditional",4,1))),"")</f>
        <v/>
      </c>
      <c r="M18">
        <f>IF(AND($D18&lt;&gt;"",$E18&lt;&gt;"",M$5&gt;=$D18,M$5&lt;=$E18),IF($F18&gt;=1,3,IF($G18="Blocked",2,IF($G18="Conditional",4,1))),"")</f>
        <v/>
      </c>
      <c r="N18">
        <f>IF(AND($D18&lt;&gt;"",$E18&lt;&gt;"",N$5&gt;=$D18,N$5&lt;=$E18),IF($F18&gt;=1,3,IF($G18="Blocked",2,IF($G18="Conditional",4,1))),"")</f>
        <v/>
      </c>
      <c r="O18">
        <f>IF(AND($D18&lt;&gt;"",$E18&lt;&gt;"",O$5&gt;=$D18,O$5&lt;=$E18),IF($F18&gt;=1,3,IF($G18="Blocked",2,IF($G18="Conditional",4,1))),"")</f>
        <v/>
      </c>
      <c r="P18">
        <f>IF(AND($D18&lt;&gt;"",$E18&lt;&gt;"",P$5&gt;=$D18,P$5&lt;=$E18),IF($F18&gt;=1,3,IF($G18="Blocked",2,IF($G18="Conditional",4,1))),"")</f>
        <v/>
      </c>
      <c r="Q18">
        <f>IF(AND($D18&lt;&gt;"",$E18&lt;&gt;"",Q$5&gt;=$D18,Q$5&lt;=$E18),IF($F18&gt;=1,3,IF($G18="Blocked",2,IF($G18="Conditional",4,1))),"")</f>
        <v/>
      </c>
      <c r="R18">
        <f>IF(AND($D18&lt;&gt;"",$E18&lt;&gt;"",R$5&gt;=$D18,R$5&lt;=$E18),IF($F18&gt;=1,3,IF($G18="Blocked",2,IF($G18="Conditional",4,1))),"")</f>
        <v/>
      </c>
      <c r="S18">
        <f>IF(AND($D18&lt;&gt;"",$E18&lt;&gt;"",S$5&gt;=$D18,S$5&lt;=$E18),IF($F18&gt;=1,3,IF($G18="Blocked",2,IF($G18="Conditional",4,1))),"")</f>
        <v/>
      </c>
      <c r="T18">
        <f>IF(AND($D18&lt;&gt;"",$E18&lt;&gt;"",T$5&gt;=$D18,T$5&lt;=$E18),IF($F18&gt;=1,3,IF($G18="Blocked",2,IF($G18="Conditional",4,1))),"")</f>
        <v/>
      </c>
      <c r="U18">
        <f>IF(AND($D18&lt;&gt;"",$E18&lt;&gt;"",U$5&gt;=$D18,U$5&lt;=$E18),IF($F18&gt;=1,3,IF($G18="Blocked",2,IF($G18="Conditional",4,1))),"")</f>
        <v/>
      </c>
      <c r="V18">
        <f>IF(AND($D18&lt;&gt;"",$E18&lt;&gt;"",V$5&gt;=$D18,V$5&lt;=$E18),IF($F18&gt;=1,3,IF($G18="Blocked",2,IF($G18="Conditional",4,1))),"")</f>
        <v/>
      </c>
      <c r="W18">
        <f>IF(AND($D18&lt;&gt;"",$E18&lt;&gt;"",W$5&gt;=$D18,W$5&lt;=$E18),IF($F18&gt;=1,3,IF($G18="Blocked",2,IF($G18="Conditional",4,1))),"")</f>
        <v/>
      </c>
      <c r="X18">
        <f>IF(AND($D18&lt;&gt;"",$E18&lt;&gt;"",X$5&gt;=$D18,X$5&lt;=$E18),IF($F18&gt;=1,3,IF($G18="Blocked",2,IF($G18="Conditional",4,1))),"")</f>
        <v/>
      </c>
      <c r="Y18">
        <f>IF(AND($D18&lt;&gt;"",$E18&lt;&gt;"",Y$5&gt;=$D18,Y$5&lt;=$E18),IF($F18&gt;=1,3,IF($G18="Blocked",2,IF($G18="Conditional",4,1))),"")</f>
        <v/>
      </c>
      <c r="Z18">
        <f>IF(AND($D18&lt;&gt;"",$E18&lt;&gt;"",Z$5&gt;=$D18,Z$5&lt;=$E18),IF($F18&gt;=1,3,IF($G18="Blocked",2,IF($G18="Conditional",4,1))),"")</f>
        <v/>
      </c>
      <c r="AA18">
        <f>IF(AND($D18&lt;&gt;"",$E18&lt;&gt;"",AA$5&gt;=$D18,AA$5&lt;=$E18),IF($F18&gt;=1,3,IF($G18="Blocked",2,IF($G18="Conditional",4,1))),"")</f>
        <v/>
      </c>
      <c r="AB18">
        <f>IF(AND($D18&lt;&gt;"",$E18&lt;&gt;"",AB$5&gt;=$D18,AB$5&lt;=$E18),IF($F18&gt;=1,3,IF($G18="Blocked",2,IF($G18="Conditional",4,1))),"")</f>
        <v/>
      </c>
    </row>
    <row r="19" ht="21.75" customHeight="1">
      <c r="A19" s="12" t="inlineStr">
        <is>
          <t>WS2.3</t>
        </is>
      </c>
      <c r="B19" s="2" t="inlineStr">
        <is>
          <t>Procurement, warehouse &amp; inventory screens</t>
        </is>
      </c>
      <c r="C19" s="13" t="inlineStr">
        <is>
          <t>Raunak</t>
        </is>
      </c>
      <c r="D19" s="13" t="n">
        <v>6</v>
      </c>
      <c r="E19" s="13" t="n">
        <v>8</v>
      </c>
      <c r="F19" s="14" t="n">
        <v>0</v>
      </c>
      <c r="G19" s="13" t="inlineStr">
        <is>
          <t>Not started</t>
        </is>
      </c>
      <c r="H19">
        <f>IF(AND($D19&lt;&gt;"",$E19&lt;&gt;"",H$5&gt;=$D19,H$5&lt;=$E19),IF($F19&gt;=1,3,IF($G19="Blocked",2,IF($G19="Conditional",4,1))),"")</f>
        <v/>
      </c>
      <c r="I19" s="15">
        <f>IF(AND($D19&lt;&gt;"",$E19&lt;&gt;"",I$5&gt;=$D19,I$5&lt;=$E19),IF($F19&gt;=1,3,IF($G19="Blocked",2,IF($G19="Conditional",4,1))),"")</f>
        <v/>
      </c>
      <c r="J19">
        <f>IF(AND($D19&lt;&gt;"",$E19&lt;&gt;"",J$5&gt;=$D19,J$5&lt;=$E19),IF($F19&gt;=1,3,IF($G19="Blocked",2,IF($G19="Conditional",4,1))),"")</f>
        <v/>
      </c>
      <c r="K19">
        <f>IF(AND($D19&lt;&gt;"",$E19&lt;&gt;"",K$5&gt;=$D19,K$5&lt;=$E19),IF($F19&gt;=1,3,IF($G19="Blocked",2,IF($G19="Conditional",4,1))),"")</f>
        <v/>
      </c>
      <c r="L19">
        <f>IF(AND($D19&lt;&gt;"",$E19&lt;&gt;"",L$5&gt;=$D19,L$5&lt;=$E19),IF($F19&gt;=1,3,IF($G19="Blocked",2,IF($G19="Conditional",4,1))),"")</f>
        <v/>
      </c>
      <c r="M19">
        <f>IF(AND($D19&lt;&gt;"",$E19&lt;&gt;"",M$5&gt;=$D19,M$5&lt;=$E19),IF($F19&gt;=1,3,IF($G19="Blocked",2,IF($G19="Conditional",4,1))),"")</f>
        <v/>
      </c>
      <c r="N19">
        <f>IF(AND($D19&lt;&gt;"",$E19&lt;&gt;"",N$5&gt;=$D19,N$5&lt;=$E19),IF($F19&gt;=1,3,IF($G19="Blocked",2,IF($G19="Conditional",4,1))),"")</f>
        <v/>
      </c>
      <c r="O19">
        <f>IF(AND($D19&lt;&gt;"",$E19&lt;&gt;"",O$5&gt;=$D19,O$5&lt;=$E19),IF($F19&gt;=1,3,IF($G19="Blocked",2,IF($G19="Conditional",4,1))),"")</f>
        <v/>
      </c>
      <c r="P19">
        <f>IF(AND($D19&lt;&gt;"",$E19&lt;&gt;"",P$5&gt;=$D19,P$5&lt;=$E19),IF($F19&gt;=1,3,IF($G19="Blocked",2,IF($G19="Conditional",4,1))),"")</f>
        <v/>
      </c>
      <c r="Q19">
        <f>IF(AND($D19&lt;&gt;"",$E19&lt;&gt;"",Q$5&gt;=$D19,Q$5&lt;=$E19),IF($F19&gt;=1,3,IF($G19="Blocked",2,IF($G19="Conditional",4,1))),"")</f>
        <v/>
      </c>
      <c r="R19">
        <f>IF(AND($D19&lt;&gt;"",$E19&lt;&gt;"",R$5&gt;=$D19,R$5&lt;=$E19),IF($F19&gt;=1,3,IF($G19="Blocked",2,IF($G19="Conditional",4,1))),"")</f>
        <v/>
      </c>
      <c r="S19">
        <f>IF(AND($D19&lt;&gt;"",$E19&lt;&gt;"",S$5&gt;=$D19,S$5&lt;=$E19),IF($F19&gt;=1,3,IF($G19="Blocked",2,IF($G19="Conditional",4,1))),"")</f>
        <v/>
      </c>
      <c r="T19">
        <f>IF(AND($D19&lt;&gt;"",$E19&lt;&gt;"",T$5&gt;=$D19,T$5&lt;=$E19),IF($F19&gt;=1,3,IF($G19="Blocked",2,IF($G19="Conditional",4,1))),"")</f>
        <v/>
      </c>
      <c r="U19">
        <f>IF(AND($D19&lt;&gt;"",$E19&lt;&gt;"",U$5&gt;=$D19,U$5&lt;=$E19),IF($F19&gt;=1,3,IF($G19="Blocked",2,IF($G19="Conditional",4,1))),"")</f>
        <v/>
      </c>
      <c r="V19">
        <f>IF(AND($D19&lt;&gt;"",$E19&lt;&gt;"",V$5&gt;=$D19,V$5&lt;=$E19),IF($F19&gt;=1,3,IF($G19="Blocked",2,IF($G19="Conditional",4,1))),"")</f>
        <v/>
      </c>
      <c r="W19">
        <f>IF(AND($D19&lt;&gt;"",$E19&lt;&gt;"",W$5&gt;=$D19,W$5&lt;=$E19),IF($F19&gt;=1,3,IF($G19="Blocked",2,IF($G19="Conditional",4,1))),"")</f>
        <v/>
      </c>
      <c r="X19">
        <f>IF(AND($D19&lt;&gt;"",$E19&lt;&gt;"",X$5&gt;=$D19,X$5&lt;=$E19),IF($F19&gt;=1,3,IF($G19="Blocked",2,IF($G19="Conditional",4,1))),"")</f>
        <v/>
      </c>
      <c r="Y19">
        <f>IF(AND($D19&lt;&gt;"",$E19&lt;&gt;"",Y$5&gt;=$D19,Y$5&lt;=$E19),IF($F19&gt;=1,3,IF($G19="Blocked",2,IF($G19="Conditional",4,1))),"")</f>
        <v/>
      </c>
      <c r="Z19">
        <f>IF(AND($D19&lt;&gt;"",$E19&lt;&gt;"",Z$5&gt;=$D19,Z$5&lt;=$E19),IF($F19&gt;=1,3,IF($G19="Blocked",2,IF($G19="Conditional",4,1))),"")</f>
        <v/>
      </c>
      <c r="AA19">
        <f>IF(AND($D19&lt;&gt;"",$E19&lt;&gt;"",AA$5&gt;=$D19,AA$5&lt;=$E19),IF($F19&gt;=1,3,IF($G19="Blocked",2,IF($G19="Conditional",4,1))),"")</f>
        <v/>
      </c>
      <c r="AB19">
        <f>IF(AND($D19&lt;&gt;"",$E19&lt;&gt;"",AB$5&gt;=$D19,AB$5&lt;=$E19),IF($F19&gt;=1,3,IF($G19="Blocked",2,IF($G19="Conditional",4,1))),"")</f>
        <v/>
      </c>
    </row>
    <row r="20" ht="21.75" customHeight="1">
      <c r="A20" s="12" t="inlineStr">
        <is>
          <t>WS2.4</t>
        </is>
      </c>
      <c r="B20" s="2" t="inlineStr">
        <is>
          <t>Production, recipe &amp; quality screens</t>
        </is>
      </c>
      <c r="C20" s="13" t="inlineStr">
        <is>
          <t>Raunak</t>
        </is>
      </c>
      <c r="D20" s="13" t="n">
        <v>8</v>
      </c>
      <c r="E20" s="13" t="n">
        <v>10</v>
      </c>
      <c r="F20" s="14" t="n">
        <v>0</v>
      </c>
      <c r="G20" s="13" t="inlineStr">
        <is>
          <t>Not started</t>
        </is>
      </c>
      <c r="H20">
        <f>IF(AND($D20&lt;&gt;"",$E20&lt;&gt;"",H$5&gt;=$D20,H$5&lt;=$E20),IF($F20&gt;=1,3,IF($G20="Blocked",2,IF($G20="Conditional",4,1))),"")</f>
        <v/>
      </c>
      <c r="I20" s="15">
        <f>IF(AND($D20&lt;&gt;"",$E20&lt;&gt;"",I$5&gt;=$D20,I$5&lt;=$E20),IF($F20&gt;=1,3,IF($G20="Blocked",2,IF($G20="Conditional",4,1))),"")</f>
        <v/>
      </c>
      <c r="J20">
        <f>IF(AND($D20&lt;&gt;"",$E20&lt;&gt;"",J$5&gt;=$D20,J$5&lt;=$E20),IF($F20&gt;=1,3,IF($G20="Blocked",2,IF($G20="Conditional",4,1))),"")</f>
        <v/>
      </c>
      <c r="K20">
        <f>IF(AND($D20&lt;&gt;"",$E20&lt;&gt;"",K$5&gt;=$D20,K$5&lt;=$E20),IF($F20&gt;=1,3,IF($G20="Blocked",2,IF($G20="Conditional",4,1))),"")</f>
        <v/>
      </c>
      <c r="L20">
        <f>IF(AND($D20&lt;&gt;"",$E20&lt;&gt;"",L$5&gt;=$D20,L$5&lt;=$E20),IF($F20&gt;=1,3,IF($G20="Blocked",2,IF($G20="Conditional",4,1))),"")</f>
        <v/>
      </c>
      <c r="M20">
        <f>IF(AND($D20&lt;&gt;"",$E20&lt;&gt;"",M$5&gt;=$D20,M$5&lt;=$E20),IF($F20&gt;=1,3,IF($G20="Blocked",2,IF($G20="Conditional",4,1))),"")</f>
        <v/>
      </c>
      <c r="N20">
        <f>IF(AND($D20&lt;&gt;"",$E20&lt;&gt;"",N$5&gt;=$D20,N$5&lt;=$E20),IF($F20&gt;=1,3,IF($G20="Blocked",2,IF($G20="Conditional",4,1))),"")</f>
        <v/>
      </c>
      <c r="O20">
        <f>IF(AND($D20&lt;&gt;"",$E20&lt;&gt;"",O$5&gt;=$D20,O$5&lt;=$E20),IF($F20&gt;=1,3,IF($G20="Blocked",2,IF($G20="Conditional",4,1))),"")</f>
        <v/>
      </c>
      <c r="P20">
        <f>IF(AND($D20&lt;&gt;"",$E20&lt;&gt;"",P$5&gt;=$D20,P$5&lt;=$E20),IF($F20&gt;=1,3,IF($G20="Blocked",2,IF($G20="Conditional",4,1))),"")</f>
        <v/>
      </c>
      <c r="Q20">
        <f>IF(AND($D20&lt;&gt;"",$E20&lt;&gt;"",Q$5&gt;=$D20,Q$5&lt;=$E20),IF($F20&gt;=1,3,IF($G20="Blocked",2,IF($G20="Conditional",4,1))),"")</f>
        <v/>
      </c>
      <c r="R20">
        <f>IF(AND($D20&lt;&gt;"",$E20&lt;&gt;"",R$5&gt;=$D20,R$5&lt;=$E20),IF($F20&gt;=1,3,IF($G20="Blocked",2,IF($G20="Conditional",4,1))),"")</f>
        <v/>
      </c>
      <c r="S20">
        <f>IF(AND($D20&lt;&gt;"",$E20&lt;&gt;"",S$5&gt;=$D20,S$5&lt;=$E20),IF($F20&gt;=1,3,IF($G20="Blocked",2,IF($G20="Conditional",4,1))),"")</f>
        <v/>
      </c>
      <c r="T20">
        <f>IF(AND($D20&lt;&gt;"",$E20&lt;&gt;"",T$5&gt;=$D20,T$5&lt;=$E20),IF($F20&gt;=1,3,IF($G20="Blocked",2,IF($G20="Conditional",4,1))),"")</f>
        <v/>
      </c>
      <c r="U20">
        <f>IF(AND($D20&lt;&gt;"",$E20&lt;&gt;"",U$5&gt;=$D20,U$5&lt;=$E20),IF($F20&gt;=1,3,IF($G20="Blocked",2,IF($G20="Conditional",4,1))),"")</f>
        <v/>
      </c>
      <c r="V20">
        <f>IF(AND($D20&lt;&gt;"",$E20&lt;&gt;"",V$5&gt;=$D20,V$5&lt;=$E20),IF($F20&gt;=1,3,IF($G20="Blocked",2,IF($G20="Conditional",4,1))),"")</f>
        <v/>
      </c>
      <c r="W20">
        <f>IF(AND($D20&lt;&gt;"",$E20&lt;&gt;"",W$5&gt;=$D20,W$5&lt;=$E20),IF($F20&gt;=1,3,IF($G20="Blocked",2,IF($G20="Conditional",4,1))),"")</f>
        <v/>
      </c>
      <c r="X20">
        <f>IF(AND($D20&lt;&gt;"",$E20&lt;&gt;"",X$5&gt;=$D20,X$5&lt;=$E20),IF($F20&gt;=1,3,IF($G20="Blocked",2,IF($G20="Conditional",4,1))),"")</f>
        <v/>
      </c>
      <c r="Y20">
        <f>IF(AND($D20&lt;&gt;"",$E20&lt;&gt;"",Y$5&gt;=$D20,Y$5&lt;=$E20),IF($F20&gt;=1,3,IF($G20="Blocked",2,IF($G20="Conditional",4,1))),"")</f>
        <v/>
      </c>
      <c r="Z20">
        <f>IF(AND($D20&lt;&gt;"",$E20&lt;&gt;"",Z$5&gt;=$D20,Z$5&lt;=$E20),IF($F20&gt;=1,3,IF($G20="Blocked",2,IF($G20="Conditional",4,1))),"")</f>
        <v/>
      </c>
      <c r="AA20">
        <f>IF(AND($D20&lt;&gt;"",$E20&lt;&gt;"",AA$5&gt;=$D20,AA$5&lt;=$E20),IF($F20&gt;=1,3,IF($G20="Blocked",2,IF($G20="Conditional",4,1))),"")</f>
        <v/>
      </c>
      <c r="AB20">
        <f>IF(AND($D20&lt;&gt;"",$E20&lt;&gt;"",AB$5&gt;=$D20,AB$5&lt;=$E20),IF($F20&gt;=1,3,IF($G20="Blocked",2,IF($G20="Conditional",4,1))),"")</f>
        <v/>
      </c>
    </row>
    <row r="21" ht="21.75" customHeight="1">
      <c r="A21" s="12" t="inlineStr">
        <is>
          <t>WS2.5</t>
        </is>
      </c>
      <c r="B21" s="2" t="inlineStr">
        <is>
          <t>Sales, dispatch &amp; delivery screens (channel-aware)</t>
        </is>
      </c>
      <c r="C21" s="13" t="inlineStr">
        <is>
          <t>Raunak</t>
        </is>
      </c>
      <c r="D21" s="13" t="n">
        <v>10</v>
      </c>
      <c r="E21" s="13" t="n">
        <v>12</v>
      </c>
      <c r="F21" s="14" t="n">
        <v>0</v>
      </c>
      <c r="G21" s="13" t="inlineStr">
        <is>
          <t>Not started</t>
        </is>
      </c>
      <c r="H21">
        <f>IF(AND($D21&lt;&gt;"",$E21&lt;&gt;"",H$5&gt;=$D21,H$5&lt;=$E21),IF($F21&gt;=1,3,IF($G21="Blocked",2,IF($G21="Conditional",4,1))),"")</f>
        <v/>
      </c>
      <c r="I21" s="15">
        <f>IF(AND($D21&lt;&gt;"",$E21&lt;&gt;"",I$5&gt;=$D21,I$5&lt;=$E21),IF($F21&gt;=1,3,IF($G21="Blocked",2,IF($G21="Conditional",4,1))),"")</f>
        <v/>
      </c>
      <c r="J21">
        <f>IF(AND($D21&lt;&gt;"",$E21&lt;&gt;"",J$5&gt;=$D21,J$5&lt;=$E21),IF($F21&gt;=1,3,IF($G21="Blocked",2,IF($G21="Conditional",4,1))),"")</f>
        <v/>
      </c>
      <c r="K21">
        <f>IF(AND($D21&lt;&gt;"",$E21&lt;&gt;"",K$5&gt;=$D21,K$5&lt;=$E21),IF($F21&gt;=1,3,IF($G21="Blocked",2,IF($G21="Conditional",4,1))),"")</f>
        <v/>
      </c>
      <c r="L21">
        <f>IF(AND($D21&lt;&gt;"",$E21&lt;&gt;"",L$5&gt;=$D21,L$5&lt;=$E21),IF($F21&gt;=1,3,IF($G21="Blocked",2,IF($G21="Conditional",4,1))),"")</f>
        <v/>
      </c>
      <c r="M21">
        <f>IF(AND($D21&lt;&gt;"",$E21&lt;&gt;"",M$5&gt;=$D21,M$5&lt;=$E21),IF($F21&gt;=1,3,IF($G21="Blocked",2,IF($G21="Conditional",4,1))),"")</f>
        <v/>
      </c>
      <c r="N21">
        <f>IF(AND($D21&lt;&gt;"",$E21&lt;&gt;"",N$5&gt;=$D21,N$5&lt;=$E21),IF($F21&gt;=1,3,IF($G21="Blocked",2,IF($G21="Conditional",4,1))),"")</f>
        <v/>
      </c>
      <c r="O21">
        <f>IF(AND($D21&lt;&gt;"",$E21&lt;&gt;"",O$5&gt;=$D21,O$5&lt;=$E21),IF($F21&gt;=1,3,IF($G21="Blocked",2,IF($G21="Conditional",4,1))),"")</f>
        <v/>
      </c>
      <c r="P21">
        <f>IF(AND($D21&lt;&gt;"",$E21&lt;&gt;"",P$5&gt;=$D21,P$5&lt;=$E21),IF($F21&gt;=1,3,IF($G21="Blocked",2,IF($G21="Conditional",4,1))),"")</f>
        <v/>
      </c>
      <c r="Q21">
        <f>IF(AND($D21&lt;&gt;"",$E21&lt;&gt;"",Q$5&gt;=$D21,Q$5&lt;=$E21),IF($F21&gt;=1,3,IF($G21="Blocked",2,IF($G21="Conditional",4,1))),"")</f>
        <v/>
      </c>
      <c r="R21">
        <f>IF(AND($D21&lt;&gt;"",$E21&lt;&gt;"",R$5&gt;=$D21,R$5&lt;=$E21),IF($F21&gt;=1,3,IF($G21="Blocked",2,IF($G21="Conditional",4,1))),"")</f>
        <v/>
      </c>
      <c r="S21">
        <f>IF(AND($D21&lt;&gt;"",$E21&lt;&gt;"",S$5&gt;=$D21,S$5&lt;=$E21),IF($F21&gt;=1,3,IF($G21="Blocked",2,IF($G21="Conditional",4,1))),"")</f>
        <v/>
      </c>
      <c r="T21">
        <f>IF(AND($D21&lt;&gt;"",$E21&lt;&gt;"",T$5&gt;=$D21,T$5&lt;=$E21),IF($F21&gt;=1,3,IF($G21="Blocked",2,IF($G21="Conditional",4,1))),"")</f>
        <v/>
      </c>
      <c r="U21">
        <f>IF(AND($D21&lt;&gt;"",$E21&lt;&gt;"",U$5&gt;=$D21,U$5&lt;=$E21),IF($F21&gt;=1,3,IF($G21="Blocked",2,IF($G21="Conditional",4,1))),"")</f>
        <v/>
      </c>
      <c r="V21">
        <f>IF(AND($D21&lt;&gt;"",$E21&lt;&gt;"",V$5&gt;=$D21,V$5&lt;=$E21),IF($F21&gt;=1,3,IF($G21="Blocked",2,IF($G21="Conditional",4,1))),"")</f>
        <v/>
      </c>
      <c r="W21">
        <f>IF(AND($D21&lt;&gt;"",$E21&lt;&gt;"",W$5&gt;=$D21,W$5&lt;=$E21),IF($F21&gt;=1,3,IF($G21="Blocked",2,IF($G21="Conditional",4,1))),"")</f>
        <v/>
      </c>
      <c r="X21">
        <f>IF(AND($D21&lt;&gt;"",$E21&lt;&gt;"",X$5&gt;=$D21,X$5&lt;=$E21),IF($F21&gt;=1,3,IF($G21="Blocked",2,IF($G21="Conditional",4,1))),"")</f>
        <v/>
      </c>
      <c r="Y21">
        <f>IF(AND($D21&lt;&gt;"",$E21&lt;&gt;"",Y$5&gt;=$D21,Y$5&lt;=$E21),IF($F21&gt;=1,3,IF($G21="Blocked",2,IF($G21="Conditional",4,1))),"")</f>
        <v/>
      </c>
      <c r="Z21">
        <f>IF(AND($D21&lt;&gt;"",$E21&lt;&gt;"",Z$5&gt;=$D21,Z$5&lt;=$E21),IF($F21&gt;=1,3,IF($G21="Blocked",2,IF($G21="Conditional",4,1))),"")</f>
        <v/>
      </c>
      <c r="AA21">
        <f>IF(AND($D21&lt;&gt;"",$E21&lt;&gt;"",AA$5&gt;=$D21,AA$5&lt;=$E21),IF($F21&gt;=1,3,IF($G21="Blocked",2,IF($G21="Conditional",4,1))),"")</f>
        <v/>
      </c>
      <c r="AB21">
        <f>IF(AND($D21&lt;&gt;"",$E21&lt;&gt;"",AB$5&gt;=$D21,AB$5&lt;=$E21),IF($F21&gt;=1,3,IF($G21="Blocked",2,IF($G21="Conditional",4,1))),"")</f>
        <v/>
      </c>
    </row>
    <row r="22" ht="21.75" customHeight="1">
      <c r="A22" s="12" t="inlineStr">
        <is>
          <t>WS2.6</t>
        </is>
      </c>
      <c r="B22" s="2" t="inlineStr">
        <is>
          <t>Dashboards, reports &amp; analytics screens</t>
        </is>
      </c>
      <c r="C22" s="13" t="inlineStr">
        <is>
          <t>Raunak</t>
        </is>
      </c>
      <c r="D22" s="13" t="n">
        <v>12</v>
      </c>
      <c r="E22" s="13" t="n">
        <v>13</v>
      </c>
      <c r="F22" s="14" t="n">
        <v>0</v>
      </c>
      <c r="G22" s="13" t="inlineStr">
        <is>
          <t>Not started</t>
        </is>
      </c>
      <c r="H22">
        <f>IF(AND($D22&lt;&gt;"",$E22&lt;&gt;"",H$5&gt;=$D22,H$5&lt;=$E22),IF($F22&gt;=1,3,IF($G22="Blocked",2,IF($G22="Conditional",4,1))),"")</f>
        <v/>
      </c>
      <c r="I22" s="15">
        <f>IF(AND($D22&lt;&gt;"",$E22&lt;&gt;"",I$5&gt;=$D22,I$5&lt;=$E22),IF($F22&gt;=1,3,IF($G22="Blocked",2,IF($G22="Conditional",4,1))),"")</f>
        <v/>
      </c>
      <c r="J22">
        <f>IF(AND($D22&lt;&gt;"",$E22&lt;&gt;"",J$5&gt;=$D22,J$5&lt;=$E22),IF($F22&gt;=1,3,IF($G22="Blocked",2,IF($G22="Conditional",4,1))),"")</f>
        <v/>
      </c>
      <c r="K22">
        <f>IF(AND($D22&lt;&gt;"",$E22&lt;&gt;"",K$5&gt;=$D22,K$5&lt;=$E22),IF($F22&gt;=1,3,IF($G22="Blocked",2,IF($G22="Conditional",4,1))),"")</f>
        <v/>
      </c>
      <c r="L22">
        <f>IF(AND($D22&lt;&gt;"",$E22&lt;&gt;"",L$5&gt;=$D22,L$5&lt;=$E22),IF($F22&gt;=1,3,IF($G22="Blocked",2,IF($G22="Conditional",4,1))),"")</f>
        <v/>
      </c>
      <c r="M22">
        <f>IF(AND($D22&lt;&gt;"",$E22&lt;&gt;"",M$5&gt;=$D22,M$5&lt;=$E22),IF($F22&gt;=1,3,IF($G22="Blocked",2,IF($G22="Conditional",4,1))),"")</f>
        <v/>
      </c>
      <c r="N22">
        <f>IF(AND($D22&lt;&gt;"",$E22&lt;&gt;"",N$5&gt;=$D22,N$5&lt;=$E22),IF($F22&gt;=1,3,IF($G22="Blocked",2,IF($G22="Conditional",4,1))),"")</f>
        <v/>
      </c>
      <c r="O22">
        <f>IF(AND($D22&lt;&gt;"",$E22&lt;&gt;"",O$5&gt;=$D22,O$5&lt;=$E22),IF($F22&gt;=1,3,IF($G22="Blocked",2,IF($G22="Conditional",4,1))),"")</f>
        <v/>
      </c>
      <c r="P22">
        <f>IF(AND($D22&lt;&gt;"",$E22&lt;&gt;"",P$5&gt;=$D22,P$5&lt;=$E22),IF($F22&gt;=1,3,IF($G22="Blocked",2,IF($G22="Conditional",4,1))),"")</f>
        <v/>
      </c>
      <c r="Q22">
        <f>IF(AND($D22&lt;&gt;"",$E22&lt;&gt;"",Q$5&gt;=$D22,Q$5&lt;=$E22),IF($F22&gt;=1,3,IF($G22="Blocked",2,IF($G22="Conditional",4,1))),"")</f>
        <v/>
      </c>
      <c r="R22">
        <f>IF(AND($D22&lt;&gt;"",$E22&lt;&gt;"",R$5&gt;=$D22,R$5&lt;=$E22),IF($F22&gt;=1,3,IF($G22="Blocked",2,IF($G22="Conditional",4,1))),"")</f>
        <v/>
      </c>
      <c r="S22">
        <f>IF(AND($D22&lt;&gt;"",$E22&lt;&gt;"",S$5&gt;=$D22,S$5&lt;=$E22),IF($F22&gt;=1,3,IF($G22="Blocked",2,IF($G22="Conditional",4,1))),"")</f>
        <v/>
      </c>
      <c r="T22">
        <f>IF(AND($D22&lt;&gt;"",$E22&lt;&gt;"",T$5&gt;=$D22,T$5&lt;=$E22),IF($F22&gt;=1,3,IF($G22="Blocked",2,IF($G22="Conditional",4,1))),"")</f>
        <v/>
      </c>
      <c r="U22">
        <f>IF(AND($D22&lt;&gt;"",$E22&lt;&gt;"",U$5&gt;=$D22,U$5&lt;=$E22),IF($F22&gt;=1,3,IF($G22="Blocked",2,IF($G22="Conditional",4,1))),"")</f>
        <v/>
      </c>
      <c r="V22">
        <f>IF(AND($D22&lt;&gt;"",$E22&lt;&gt;"",V$5&gt;=$D22,V$5&lt;=$E22),IF($F22&gt;=1,3,IF($G22="Blocked",2,IF($G22="Conditional",4,1))),"")</f>
        <v/>
      </c>
      <c r="W22">
        <f>IF(AND($D22&lt;&gt;"",$E22&lt;&gt;"",W$5&gt;=$D22,W$5&lt;=$E22),IF($F22&gt;=1,3,IF($G22="Blocked",2,IF($G22="Conditional",4,1))),"")</f>
        <v/>
      </c>
      <c r="X22">
        <f>IF(AND($D22&lt;&gt;"",$E22&lt;&gt;"",X$5&gt;=$D22,X$5&lt;=$E22),IF($F22&gt;=1,3,IF($G22="Blocked",2,IF($G22="Conditional",4,1))),"")</f>
        <v/>
      </c>
      <c r="Y22">
        <f>IF(AND($D22&lt;&gt;"",$E22&lt;&gt;"",Y$5&gt;=$D22,Y$5&lt;=$E22),IF($F22&gt;=1,3,IF($G22="Blocked",2,IF($G22="Conditional",4,1))),"")</f>
        <v/>
      </c>
      <c r="Z22">
        <f>IF(AND($D22&lt;&gt;"",$E22&lt;&gt;"",Z$5&gt;=$D22,Z$5&lt;=$E22),IF($F22&gt;=1,3,IF($G22="Blocked",2,IF($G22="Conditional",4,1))),"")</f>
        <v/>
      </c>
      <c r="AA22">
        <f>IF(AND($D22&lt;&gt;"",$E22&lt;&gt;"",AA$5&gt;=$D22,AA$5&lt;=$E22),IF($F22&gt;=1,3,IF($G22="Blocked",2,IF($G22="Conditional",4,1))),"")</f>
        <v/>
      </c>
      <c r="AB22">
        <f>IF(AND($D22&lt;&gt;"",$E22&lt;&gt;"",AB$5&gt;=$D22,AB$5&lt;=$E22),IF($F22&gt;=1,3,IF($G22="Blocked",2,IF($G22="Conditional",4,1))),"")</f>
        <v/>
      </c>
    </row>
    <row r="23" ht="21.75" customHeight="1">
      <c r="A23" s="8" t="inlineStr">
        <is>
          <t>WS3</t>
        </is>
      </c>
      <c r="B23" s="9" t="inlineStr">
        <is>
          <t>MOBILE APPS &amp; CONSUMER CHANNEL</t>
        </is>
      </c>
      <c r="C23" s="10" t="n"/>
      <c r="D23" s="10" t="n"/>
      <c r="E23" s="10" t="n"/>
      <c r="F23" s="10" t="n"/>
      <c r="G23" s="10" t="n"/>
      <c r="H23" s="10" t="n"/>
      <c r="I23" s="11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21.75" customHeight="1">
      <c r="A24" s="12" t="inlineStr">
        <is>
          <t>WS3.1</t>
        </is>
      </c>
      <c r="B24" s="2" t="inlineStr">
        <is>
          <t>Agriculture Expert app (offline field visits, crop monitoring, training logs)</t>
        </is>
      </c>
      <c r="C24" s="13" t="inlineStr">
        <is>
          <t>Raunak</t>
        </is>
      </c>
      <c r="D24" s="13" t="n">
        <v>10</v>
      </c>
      <c r="E24" s="13" t="n">
        <v>12</v>
      </c>
      <c r="F24" s="14" t="n">
        <v>0</v>
      </c>
      <c r="G24" s="13" t="inlineStr">
        <is>
          <t>Not started</t>
        </is>
      </c>
      <c r="H24">
        <f>IF(AND($D24&lt;&gt;"",$E24&lt;&gt;"",H$5&gt;=$D24,H$5&lt;=$E24),IF($F24&gt;=1,3,IF($G24="Blocked",2,IF($G24="Conditional",4,1))),"")</f>
        <v/>
      </c>
      <c r="I24" s="15">
        <f>IF(AND($D24&lt;&gt;"",$E24&lt;&gt;"",I$5&gt;=$D24,I$5&lt;=$E24),IF($F24&gt;=1,3,IF($G24="Blocked",2,IF($G24="Conditional",4,1))),"")</f>
        <v/>
      </c>
      <c r="J24">
        <f>IF(AND($D24&lt;&gt;"",$E24&lt;&gt;"",J$5&gt;=$D24,J$5&lt;=$E24),IF($F24&gt;=1,3,IF($G24="Blocked",2,IF($G24="Conditional",4,1))),"")</f>
        <v/>
      </c>
      <c r="K24">
        <f>IF(AND($D24&lt;&gt;"",$E24&lt;&gt;"",K$5&gt;=$D24,K$5&lt;=$E24),IF($F24&gt;=1,3,IF($G24="Blocked",2,IF($G24="Conditional",4,1))),"")</f>
        <v/>
      </c>
      <c r="L24">
        <f>IF(AND($D24&lt;&gt;"",$E24&lt;&gt;"",L$5&gt;=$D24,L$5&lt;=$E24),IF($F24&gt;=1,3,IF($G24="Blocked",2,IF($G24="Conditional",4,1))),"")</f>
        <v/>
      </c>
      <c r="M24">
        <f>IF(AND($D24&lt;&gt;"",$E24&lt;&gt;"",M$5&gt;=$D24,M$5&lt;=$E24),IF($F24&gt;=1,3,IF($G24="Blocked",2,IF($G24="Conditional",4,1))),"")</f>
        <v/>
      </c>
      <c r="N24">
        <f>IF(AND($D24&lt;&gt;"",$E24&lt;&gt;"",N$5&gt;=$D24,N$5&lt;=$E24),IF($F24&gt;=1,3,IF($G24="Blocked",2,IF($G24="Conditional",4,1))),"")</f>
        <v/>
      </c>
      <c r="O24">
        <f>IF(AND($D24&lt;&gt;"",$E24&lt;&gt;"",O$5&gt;=$D24,O$5&lt;=$E24),IF($F24&gt;=1,3,IF($G24="Blocked",2,IF($G24="Conditional",4,1))),"")</f>
        <v/>
      </c>
      <c r="P24">
        <f>IF(AND($D24&lt;&gt;"",$E24&lt;&gt;"",P$5&gt;=$D24,P$5&lt;=$E24),IF($F24&gt;=1,3,IF($G24="Blocked",2,IF($G24="Conditional",4,1))),"")</f>
        <v/>
      </c>
      <c r="Q24">
        <f>IF(AND($D24&lt;&gt;"",$E24&lt;&gt;"",Q$5&gt;=$D24,Q$5&lt;=$E24),IF($F24&gt;=1,3,IF($G24="Blocked",2,IF($G24="Conditional",4,1))),"")</f>
        <v/>
      </c>
      <c r="R24">
        <f>IF(AND($D24&lt;&gt;"",$E24&lt;&gt;"",R$5&gt;=$D24,R$5&lt;=$E24),IF($F24&gt;=1,3,IF($G24="Blocked",2,IF($G24="Conditional",4,1))),"")</f>
        <v/>
      </c>
      <c r="S24">
        <f>IF(AND($D24&lt;&gt;"",$E24&lt;&gt;"",S$5&gt;=$D24,S$5&lt;=$E24),IF($F24&gt;=1,3,IF($G24="Blocked",2,IF($G24="Conditional",4,1))),"")</f>
        <v/>
      </c>
      <c r="T24">
        <f>IF(AND($D24&lt;&gt;"",$E24&lt;&gt;"",T$5&gt;=$D24,T$5&lt;=$E24),IF($F24&gt;=1,3,IF($G24="Blocked",2,IF($G24="Conditional",4,1))),"")</f>
        <v/>
      </c>
      <c r="U24">
        <f>IF(AND($D24&lt;&gt;"",$E24&lt;&gt;"",U$5&gt;=$D24,U$5&lt;=$E24),IF($F24&gt;=1,3,IF($G24="Blocked",2,IF($G24="Conditional",4,1))),"")</f>
        <v/>
      </c>
      <c r="V24">
        <f>IF(AND($D24&lt;&gt;"",$E24&lt;&gt;"",V$5&gt;=$D24,V$5&lt;=$E24),IF($F24&gt;=1,3,IF($G24="Blocked",2,IF($G24="Conditional",4,1))),"")</f>
        <v/>
      </c>
      <c r="W24">
        <f>IF(AND($D24&lt;&gt;"",$E24&lt;&gt;"",W$5&gt;=$D24,W$5&lt;=$E24),IF($F24&gt;=1,3,IF($G24="Blocked",2,IF($G24="Conditional",4,1))),"")</f>
        <v/>
      </c>
      <c r="X24">
        <f>IF(AND($D24&lt;&gt;"",$E24&lt;&gt;"",X$5&gt;=$D24,X$5&lt;=$E24),IF($F24&gt;=1,3,IF($G24="Blocked",2,IF($G24="Conditional",4,1))),"")</f>
        <v/>
      </c>
      <c r="Y24">
        <f>IF(AND($D24&lt;&gt;"",$E24&lt;&gt;"",Y$5&gt;=$D24,Y$5&lt;=$E24),IF($F24&gt;=1,3,IF($G24="Blocked",2,IF($G24="Conditional",4,1))),"")</f>
        <v/>
      </c>
      <c r="Z24">
        <f>IF(AND($D24&lt;&gt;"",$E24&lt;&gt;"",Z$5&gt;=$D24,Z$5&lt;=$E24),IF($F24&gt;=1,3,IF($G24="Blocked",2,IF($G24="Conditional",4,1))),"")</f>
        <v/>
      </c>
      <c r="AA24">
        <f>IF(AND($D24&lt;&gt;"",$E24&lt;&gt;"",AA$5&gt;=$D24,AA$5&lt;=$E24),IF($F24&gt;=1,3,IF($G24="Blocked",2,IF($G24="Conditional",4,1))),"")</f>
        <v/>
      </c>
      <c r="AB24">
        <f>IF(AND($D24&lt;&gt;"",$E24&lt;&gt;"",AB$5&gt;=$D24,AB$5&lt;=$E24),IF($F24&gt;=1,3,IF($G24="Blocked",2,IF($G24="Conditional",4,1))),"")</f>
        <v/>
      </c>
    </row>
    <row r="25" ht="21.75" customHeight="1">
      <c r="A25" s="12" t="inlineStr">
        <is>
          <t>WS3.2</t>
        </is>
      </c>
      <c r="B25" s="2" t="inlineStr">
        <is>
          <t>Sales Executive app (B2B order capture)</t>
        </is>
      </c>
      <c r="C25" s="13" t="inlineStr">
        <is>
          <t>Raunak</t>
        </is>
      </c>
      <c r="D25" s="13" t="n">
        <v>12</v>
      </c>
      <c r="E25" s="13" t="n">
        <v>14</v>
      </c>
      <c r="F25" s="14" t="n">
        <v>0</v>
      </c>
      <c r="G25" s="13" t="inlineStr">
        <is>
          <t>Not started</t>
        </is>
      </c>
      <c r="H25">
        <f>IF(AND($D25&lt;&gt;"",$E25&lt;&gt;"",H$5&gt;=$D25,H$5&lt;=$E25),IF($F25&gt;=1,3,IF($G25="Blocked",2,IF($G25="Conditional",4,1))),"")</f>
        <v/>
      </c>
      <c r="I25" s="15">
        <f>IF(AND($D25&lt;&gt;"",$E25&lt;&gt;"",I$5&gt;=$D25,I$5&lt;=$E25),IF($F25&gt;=1,3,IF($G25="Blocked",2,IF($G25="Conditional",4,1))),"")</f>
        <v/>
      </c>
      <c r="J25">
        <f>IF(AND($D25&lt;&gt;"",$E25&lt;&gt;"",J$5&gt;=$D25,J$5&lt;=$E25),IF($F25&gt;=1,3,IF($G25="Blocked",2,IF($G25="Conditional",4,1))),"")</f>
        <v/>
      </c>
      <c r="K25">
        <f>IF(AND($D25&lt;&gt;"",$E25&lt;&gt;"",K$5&gt;=$D25,K$5&lt;=$E25),IF($F25&gt;=1,3,IF($G25="Blocked",2,IF($G25="Conditional",4,1))),"")</f>
        <v/>
      </c>
      <c r="L25">
        <f>IF(AND($D25&lt;&gt;"",$E25&lt;&gt;"",L$5&gt;=$D25,L$5&lt;=$E25),IF($F25&gt;=1,3,IF($G25="Blocked",2,IF($G25="Conditional",4,1))),"")</f>
        <v/>
      </c>
      <c r="M25">
        <f>IF(AND($D25&lt;&gt;"",$E25&lt;&gt;"",M$5&gt;=$D25,M$5&lt;=$E25),IF($F25&gt;=1,3,IF($G25="Blocked",2,IF($G25="Conditional",4,1))),"")</f>
        <v/>
      </c>
      <c r="N25">
        <f>IF(AND($D25&lt;&gt;"",$E25&lt;&gt;"",N$5&gt;=$D25,N$5&lt;=$E25),IF($F25&gt;=1,3,IF($G25="Blocked",2,IF($G25="Conditional",4,1))),"")</f>
        <v/>
      </c>
      <c r="O25">
        <f>IF(AND($D25&lt;&gt;"",$E25&lt;&gt;"",O$5&gt;=$D25,O$5&lt;=$E25),IF($F25&gt;=1,3,IF($G25="Blocked",2,IF($G25="Conditional",4,1))),"")</f>
        <v/>
      </c>
      <c r="P25">
        <f>IF(AND($D25&lt;&gt;"",$E25&lt;&gt;"",P$5&gt;=$D25,P$5&lt;=$E25),IF($F25&gt;=1,3,IF($G25="Blocked",2,IF($G25="Conditional",4,1))),"")</f>
        <v/>
      </c>
      <c r="Q25">
        <f>IF(AND($D25&lt;&gt;"",$E25&lt;&gt;"",Q$5&gt;=$D25,Q$5&lt;=$E25),IF($F25&gt;=1,3,IF($G25="Blocked",2,IF($G25="Conditional",4,1))),"")</f>
        <v/>
      </c>
      <c r="R25">
        <f>IF(AND($D25&lt;&gt;"",$E25&lt;&gt;"",R$5&gt;=$D25,R$5&lt;=$E25),IF($F25&gt;=1,3,IF($G25="Blocked",2,IF($G25="Conditional",4,1))),"")</f>
        <v/>
      </c>
      <c r="S25">
        <f>IF(AND($D25&lt;&gt;"",$E25&lt;&gt;"",S$5&gt;=$D25,S$5&lt;=$E25),IF($F25&gt;=1,3,IF($G25="Blocked",2,IF($G25="Conditional",4,1))),"")</f>
        <v/>
      </c>
      <c r="T25">
        <f>IF(AND($D25&lt;&gt;"",$E25&lt;&gt;"",T$5&gt;=$D25,T$5&lt;=$E25),IF($F25&gt;=1,3,IF($G25="Blocked",2,IF($G25="Conditional",4,1))),"")</f>
        <v/>
      </c>
      <c r="U25">
        <f>IF(AND($D25&lt;&gt;"",$E25&lt;&gt;"",U$5&gt;=$D25,U$5&lt;=$E25),IF($F25&gt;=1,3,IF($G25="Blocked",2,IF($G25="Conditional",4,1))),"")</f>
        <v/>
      </c>
      <c r="V25">
        <f>IF(AND($D25&lt;&gt;"",$E25&lt;&gt;"",V$5&gt;=$D25,V$5&lt;=$E25),IF($F25&gt;=1,3,IF($G25="Blocked",2,IF($G25="Conditional",4,1))),"")</f>
        <v/>
      </c>
      <c r="W25">
        <f>IF(AND($D25&lt;&gt;"",$E25&lt;&gt;"",W$5&gt;=$D25,W$5&lt;=$E25),IF($F25&gt;=1,3,IF($G25="Blocked",2,IF($G25="Conditional",4,1))),"")</f>
        <v/>
      </c>
      <c r="X25">
        <f>IF(AND($D25&lt;&gt;"",$E25&lt;&gt;"",X$5&gt;=$D25,X$5&lt;=$E25),IF($F25&gt;=1,3,IF($G25="Blocked",2,IF($G25="Conditional",4,1))),"")</f>
        <v/>
      </c>
      <c r="Y25">
        <f>IF(AND($D25&lt;&gt;"",$E25&lt;&gt;"",Y$5&gt;=$D25,Y$5&lt;=$E25),IF($F25&gt;=1,3,IF($G25="Blocked",2,IF($G25="Conditional",4,1))),"")</f>
        <v/>
      </c>
      <c r="Z25">
        <f>IF(AND($D25&lt;&gt;"",$E25&lt;&gt;"",Z$5&gt;=$D25,Z$5&lt;=$E25),IF($F25&gt;=1,3,IF($G25="Blocked",2,IF($G25="Conditional",4,1))),"")</f>
        <v/>
      </c>
      <c r="AA25">
        <f>IF(AND($D25&lt;&gt;"",$E25&lt;&gt;"",AA$5&gt;=$D25,AA$5&lt;=$E25),IF($F25&gt;=1,3,IF($G25="Blocked",2,IF($G25="Conditional",4,1))),"")</f>
        <v/>
      </c>
      <c r="AB25">
        <f>IF(AND($D25&lt;&gt;"",$E25&lt;&gt;"",AB$5&gt;=$D25,AB$5&lt;=$E25),IF($F25&gt;=1,3,IF($G25="Blocked",2,IF($G25="Conditional",4,1))),"")</f>
        <v/>
      </c>
    </row>
    <row r="26" ht="21.75" customHeight="1">
      <c r="A26" s="12" t="inlineStr">
        <is>
          <t>WS3.3</t>
        </is>
      </c>
      <c r="B26" s="2" t="inlineStr">
        <is>
          <t>Warehouse app (stock, batch scanning)</t>
        </is>
      </c>
      <c r="C26" s="13" t="inlineStr">
        <is>
          <t>Ujjawal</t>
        </is>
      </c>
      <c r="D26" s="13" t="n">
        <v>13</v>
      </c>
      <c r="E26" s="13" t="n">
        <v>14</v>
      </c>
      <c r="F26" s="14" t="n">
        <v>0</v>
      </c>
      <c r="G26" s="13" t="inlineStr">
        <is>
          <t>Not started</t>
        </is>
      </c>
      <c r="H26">
        <f>IF(AND($D26&lt;&gt;"",$E26&lt;&gt;"",H$5&gt;=$D26,H$5&lt;=$E26),IF($F26&gt;=1,3,IF($G26="Blocked",2,IF($G26="Conditional",4,1))),"")</f>
        <v/>
      </c>
      <c r="I26" s="15">
        <f>IF(AND($D26&lt;&gt;"",$E26&lt;&gt;"",I$5&gt;=$D26,I$5&lt;=$E26),IF($F26&gt;=1,3,IF($G26="Blocked",2,IF($G26="Conditional",4,1))),"")</f>
        <v/>
      </c>
      <c r="J26">
        <f>IF(AND($D26&lt;&gt;"",$E26&lt;&gt;"",J$5&gt;=$D26,J$5&lt;=$E26),IF($F26&gt;=1,3,IF($G26="Blocked",2,IF($G26="Conditional",4,1))),"")</f>
        <v/>
      </c>
      <c r="K26">
        <f>IF(AND($D26&lt;&gt;"",$E26&lt;&gt;"",K$5&gt;=$D26,K$5&lt;=$E26),IF($F26&gt;=1,3,IF($G26="Blocked",2,IF($G26="Conditional",4,1))),"")</f>
        <v/>
      </c>
      <c r="L26">
        <f>IF(AND($D26&lt;&gt;"",$E26&lt;&gt;"",L$5&gt;=$D26,L$5&lt;=$E26),IF($F26&gt;=1,3,IF($G26="Blocked",2,IF($G26="Conditional",4,1))),"")</f>
        <v/>
      </c>
      <c r="M26">
        <f>IF(AND($D26&lt;&gt;"",$E26&lt;&gt;"",M$5&gt;=$D26,M$5&lt;=$E26),IF($F26&gt;=1,3,IF($G26="Blocked",2,IF($G26="Conditional",4,1))),"")</f>
        <v/>
      </c>
      <c r="N26">
        <f>IF(AND($D26&lt;&gt;"",$E26&lt;&gt;"",N$5&gt;=$D26,N$5&lt;=$E26),IF($F26&gt;=1,3,IF($G26="Blocked",2,IF($G26="Conditional",4,1))),"")</f>
        <v/>
      </c>
      <c r="O26">
        <f>IF(AND($D26&lt;&gt;"",$E26&lt;&gt;"",O$5&gt;=$D26,O$5&lt;=$E26),IF($F26&gt;=1,3,IF($G26="Blocked",2,IF($G26="Conditional",4,1))),"")</f>
        <v/>
      </c>
      <c r="P26">
        <f>IF(AND($D26&lt;&gt;"",$E26&lt;&gt;"",P$5&gt;=$D26,P$5&lt;=$E26),IF($F26&gt;=1,3,IF($G26="Blocked",2,IF($G26="Conditional",4,1))),"")</f>
        <v/>
      </c>
      <c r="Q26">
        <f>IF(AND($D26&lt;&gt;"",$E26&lt;&gt;"",Q$5&gt;=$D26,Q$5&lt;=$E26),IF($F26&gt;=1,3,IF($G26="Blocked",2,IF($G26="Conditional",4,1))),"")</f>
        <v/>
      </c>
      <c r="R26">
        <f>IF(AND($D26&lt;&gt;"",$E26&lt;&gt;"",R$5&gt;=$D26,R$5&lt;=$E26),IF($F26&gt;=1,3,IF($G26="Blocked",2,IF($G26="Conditional",4,1))),"")</f>
        <v/>
      </c>
      <c r="S26">
        <f>IF(AND($D26&lt;&gt;"",$E26&lt;&gt;"",S$5&gt;=$D26,S$5&lt;=$E26),IF($F26&gt;=1,3,IF($G26="Blocked",2,IF($G26="Conditional",4,1))),"")</f>
        <v/>
      </c>
      <c r="T26">
        <f>IF(AND($D26&lt;&gt;"",$E26&lt;&gt;"",T$5&gt;=$D26,T$5&lt;=$E26),IF($F26&gt;=1,3,IF($G26="Blocked",2,IF($G26="Conditional",4,1))),"")</f>
        <v/>
      </c>
      <c r="U26">
        <f>IF(AND($D26&lt;&gt;"",$E26&lt;&gt;"",U$5&gt;=$D26,U$5&lt;=$E26),IF($F26&gt;=1,3,IF($G26="Blocked",2,IF($G26="Conditional",4,1))),"")</f>
        <v/>
      </c>
      <c r="V26">
        <f>IF(AND($D26&lt;&gt;"",$E26&lt;&gt;"",V$5&gt;=$D26,V$5&lt;=$E26),IF($F26&gt;=1,3,IF($G26="Blocked",2,IF($G26="Conditional",4,1))),"")</f>
        <v/>
      </c>
      <c r="W26">
        <f>IF(AND($D26&lt;&gt;"",$E26&lt;&gt;"",W$5&gt;=$D26,W$5&lt;=$E26),IF($F26&gt;=1,3,IF($G26="Blocked",2,IF($G26="Conditional",4,1))),"")</f>
        <v/>
      </c>
      <c r="X26">
        <f>IF(AND($D26&lt;&gt;"",$E26&lt;&gt;"",X$5&gt;=$D26,X$5&lt;=$E26),IF($F26&gt;=1,3,IF($G26="Blocked",2,IF($G26="Conditional",4,1))),"")</f>
        <v/>
      </c>
      <c r="Y26">
        <f>IF(AND($D26&lt;&gt;"",$E26&lt;&gt;"",Y$5&gt;=$D26,Y$5&lt;=$E26),IF($F26&gt;=1,3,IF($G26="Blocked",2,IF($G26="Conditional",4,1))),"")</f>
        <v/>
      </c>
      <c r="Z26">
        <f>IF(AND($D26&lt;&gt;"",$E26&lt;&gt;"",Z$5&gt;=$D26,Z$5&lt;=$E26),IF($F26&gt;=1,3,IF($G26="Blocked",2,IF($G26="Conditional",4,1))),"")</f>
        <v/>
      </c>
      <c r="AA26">
        <f>IF(AND($D26&lt;&gt;"",$E26&lt;&gt;"",AA$5&gt;=$D26,AA$5&lt;=$E26),IF($F26&gt;=1,3,IF($G26="Blocked",2,IF($G26="Conditional",4,1))),"")</f>
        <v/>
      </c>
      <c r="AB26">
        <f>IF(AND($D26&lt;&gt;"",$E26&lt;&gt;"",AB$5&gt;=$D26,AB$5&lt;=$E26),IF($F26&gt;=1,3,IF($G26="Blocked",2,IF($G26="Conditional",4,1))),"")</f>
        <v/>
      </c>
    </row>
    <row r="27" ht="21.75" customHeight="1">
      <c r="A27" s="12" t="inlineStr">
        <is>
          <t>WS3.4</t>
        </is>
      </c>
      <c r="B27" s="2" t="inlineStr">
        <is>
          <t>Delivery app (route, OTP, proof of delivery)</t>
        </is>
      </c>
      <c r="C27" s="13" t="inlineStr">
        <is>
          <t>Ujjawal</t>
        </is>
      </c>
      <c r="D27" s="13" t="n">
        <v>14</v>
      </c>
      <c r="E27" s="13" t="n">
        <v>15</v>
      </c>
      <c r="F27" s="14" t="n">
        <v>0</v>
      </c>
      <c r="G27" s="13" t="inlineStr">
        <is>
          <t>Not started</t>
        </is>
      </c>
      <c r="H27">
        <f>IF(AND($D27&lt;&gt;"",$E27&lt;&gt;"",H$5&gt;=$D27,H$5&lt;=$E27),IF($F27&gt;=1,3,IF($G27="Blocked",2,IF($G27="Conditional",4,1))),"")</f>
        <v/>
      </c>
      <c r="I27" s="15">
        <f>IF(AND($D27&lt;&gt;"",$E27&lt;&gt;"",I$5&gt;=$D27,I$5&lt;=$E27),IF($F27&gt;=1,3,IF($G27="Blocked",2,IF($G27="Conditional",4,1))),"")</f>
        <v/>
      </c>
      <c r="J27">
        <f>IF(AND($D27&lt;&gt;"",$E27&lt;&gt;"",J$5&gt;=$D27,J$5&lt;=$E27),IF($F27&gt;=1,3,IF($G27="Blocked",2,IF($G27="Conditional",4,1))),"")</f>
        <v/>
      </c>
      <c r="K27">
        <f>IF(AND($D27&lt;&gt;"",$E27&lt;&gt;"",K$5&gt;=$D27,K$5&lt;=$E27),IF($F27&gt;=1,3,IF($G27="Blocked",2,IF($G27="Conditional",4,1))),"")</f>
        <v/>
      </c>
      <c r="L27">
        <f>IF(AND($D27&lt;&gt;"",$E27&lt;&gt;"",L$5&gt;=$D27,L$5&lt;=$E27),IF($F27&gt;=1,3,IF($G27="Blocked",2,IF($G27="Conditional",4,1))),"")</f>
        <v/>
      </c>
      <c r="M27">
        <f>IF(AND($D27&lt;&gt;"",$E27&lt;&gt;"",M$5&gt;=$D27,M$5&lt;=$E27),IF($F27&gt;=1,3,IF($G27="Blocked",2,IF($G27="Conditional",4,1))),"")</f>
        <v/>
      </c>
      <c r="N27">
        <f>IF(AND($D27&lt;&gt;"",$E27&lt;&gt;"",N$5&gt;=$D27,N$5&lt;=$E27),IF($F27&gt;=1,3,IF($G27="Blocked",2,IF($G27="Conditional",4,1))),"")</f>
        <v/>
      </c>
      <c r="O27">
        <f>IF(AND($D27&lt;&gt;"",$E27&lt;&gt;"",O$5&gt;=$D27,O$5&lt;=$E27),IF($F27&gt;=1,3,IF($G27="Blocked",2,IF($G27="Conditional",4,1))),"")</f>
        <v/>
      </c>
      <c r="P27">
        <f>IF(AND($D27&lt;&gt;"",$E27&lt;&gt;"",P$5&gt;=$D27,P$5&lt;=$E27),IF($F27&gt;=1,3,IF($G27="Blocked",2,IF($G27="Conditional",4,1))),"")</f>
        <v/>
      </c>
      <c r="Q27">
        <f>IF(AND($D27&lt;&gt;"",$E27&lt;&gt;"",Q$5&gt;=$D27,Q$5&lt;=$E27),IF($F27&gt;=1,3,IF($G27="Blocked",2,IF($G27="Conditional",4,1))),"")</f>
        <v/>
      </c>
      <c r="R27">
        <f>IF(AND($D27&lt;&gt;"",$E27&lt;&gt;"",R$5&gt;=$D27,R$5&lt;=$E27),IF($F27&gt;=1,3,IF($G27="Blocked",2,IF($G27="Conditional",4,1))),"")</f>
        <v/>
      </c>
      <c r="S27">
        <f>IF(AND($D27&lt;&gt;"",$E27&lt;&gt;"",S$5&gt;=$D27,S$5&lt;=$E27),IF($F27&gt;=1,3,IF($G27="Blocked",2,IF($G27="Conditional",4,1))),"")</f>
        <v/>
      </c>
      <c r="T27">
        <f>IF(AND($D27&lt;&gt;"",$E27&lt;&gt;"",T$5&gt;=$D27,T$5&lt;=$E27),IF($F27&gt;=1,3,IF($G27="Blocked",2,IF($G27="Conditional",4,1))),"")</f>
        <v/>
      </c>
      <c r="U27">
        <f>IF(AND($D27&lt;&gt;"",$E27&lt;&gt;"",U$5&gt;=$D27,U$5&lt;=$E27),IF($F27&gt;=1,3,IF($G27="Blocked",2,IF($G27="Conditional",4,1))),"")</f>
        <v/>
      </c>
      <c r="V27">
        <f>IF(AND($D27&lt;&gt;"",$E27&lt;&gt;"",V$5&gt;=$D27,V$5&lt;=$E27),IF($F27&gt;=1,3,IF($G27="Blocked",2,IF($G27="Conditional",4,1))),"")</f>
        <v/>
      </c>
      <c r="W27">
        <f>IF(AND($D27&lt;&gt;"",$E27&lt;&gt;"",W$5&gt;=$D27,W$5&lt;=$E27),IF($F27&gt;=1,3,IF($G27="Blocked",2,IF($G27="Conditional",4,1))),"")</f>
        <v/>
      </c>
      <c r="X27">
        <f>IF(AND($D27&lt;&gt;"",$E27&lt;&gt;"",X$5&gt;=$D27,X$5&lt;=$E27),IF($F27&gt;=1,3,IF($G27="Blocked",2,IF($G27="Conditional",4,1))),"")</f>
        <v/>
      </c>
      <c r="Y27">
        <f>IF(AND($D27&lt;&gt;"",$E27&lt;&gt;"",Y$5&gt;=$D27,Y$5&lt;=$E27),IF($F27&gt;=1,3,IF($G27="Blocked",2,IF($G27="Conditional",4,1))),"")</f>
        <v/>
      </c>
      <c r="Z27">
        <f>IF(AND($D27&lt;&gt;"",$E27&lt;&gt;"",Z$5&gt;=$D27,Z$5&lt;=$E27),IF($F27&gt;=1,3,IF($G27="Blocked",2,IF($G27="Conditional",4,1))),"")</f>
        <v/>
      </c>
      <c r="AA27">
        <f>IF(AND($D27&lt;&gt;"",$E27&lt;&gt;"",AA$5&gt;=$D27,AA$5&lt;=$E27),IF($F27&gt;=1,3,IF($G27="Blocked",2,IF($G27="Conditional",4,1))),"")</f>
        <v/>
      </c>
      <c r="AB27">
        <f>IF(AND($D27&lt;&gt;"",$E27&lt;&gt;"",AB$5&gt;=$D27,AB$5&lt;=$E27),IF($F27&gt;=1,3,IF($G27="Blocked",2,IF($G27="Conditional",4,1))),"")</f>
        <v/>
      </c>
    </row>
    <row r="28" ht="21.75" customHeight="1">
      <c r="A28" s="12" t="inlineStr">
        <is>
          <t>WS3.5</t>
        </is>
      </c>
      <c r="B28" s="2" t="inlineStr">
        <is>
          <t>Consumer app / website (B2C): browse, cart, accounts, tracking, QR scan  [NEW - Decision 1]</t>
        </is>
      </c>
      <c r="C28" s="13" t="inlineStr">
        <is>
          <t>Raunak</t>
        </is>
      </c>
      <c r="D28" s="13" t="n">
        <v>13</v>
      </c>
      <c r="E28" s="13" t="n">
        <v>17</v>
      </c>
      <c r="F28" s="14" t="n">
        <v>0</v>
      </c>
      <c r="G28" s="13" t="inlineStr">
        <is>
          <t>Conditional</t>
        </is>
      </c>
      <c r="H28">
        <f>IF(AND($D28&lt;&gt;"",$E28&lt;&gt;"",H$5&gt;=$D28,H$5&lt;=$E28),IF($F28&gt;=1,3,IF($G28="Blocked",2,IF($G28="Conditional",4,1))),"")</f>
        <v/>
      </c>
      <c r="I28" s="15">
        <f>IF(AND($D28&lt;&gt;"",$E28&lt;&gt;"",I$5&gt;=$D28,I$5&lt;=$E28),IF($F28&gt;=1,3,IF($G28="Blocked",2,IF($G28="Conditional",4,1))),"")</f>
        <v/>
      </c>
      <c r="J28">
        <f>IF(AND($D28&lt;&gt;"",$E28&lt;&gt;"",J$5&gt;=$D28,J$5&lt;=$E28),IF($F28&gt;=1,3,IF($G28="Blocked",2,IF($G28="Conditional",4,1))),"")</f>
        <v/>
      </c>
      <c r="K28">
        <f>IF(AND($D28&lt;&gt;"",$E28&lt;&gt;"",K$5&gt;=$D28,K$5&lt;=$E28),IF($F28&gt;=1,3,IF($G28="Blocked",2,IF($G28="Conditional",4,1))),"")</f>
        <v/>
      </c>
      <c r="L28">
        <f>IF(AND($D28&lt;&gt;"",$E28&lt;&gt;"",L$5&gt;=$D28,L$5&lt;=$E28),IF($F28&gt;=1,3,IF($G28="Blocked",2,IF($G28="Conditional",4,1))),"")</f>
        <v/>
      </c>
      <c r="M28">
        <f>IF(AND($D28&lt;&gt;"",$E28&lt;&gt;"",M$5&gt;=$D28,M$5&lt;=$E28),IF($F28&gt;=1,3,IF($G28="Blocked",2,IF($G28="Conditional",4,1))),"")</f>
        <v/>
      </c>
      <c r="N28">
        <f>IF(AND($D28&lt;&gt;"",$E28&lt;&gt;"",N$5&gt;=$D28,N$5&lt;=$E28),IF($F28&gt;=1,3,IF($G28="Blocked",2,IF($G28="Conditional",4,1))),"")</f>
        <v/>
      </c>
      <c r="O28">
        <f>IF(AND($D28&lt;&gt;"",$E28&lt;&gt;"",O$5&gt;=$D28,O$5&lt;=$E28),IF($F28&gt;=1,3,IF($G28="Blocked",2,IF($G28="Conditional",4,1))),"")</f>
        <v/>
      </c>
      <c r="P28">
        <f>IF(AND($D28&lt;&gt;"",$E28&lt;&gt;"",P$5&gt;=$D28,P$5&lt;=$E28),IF($F28&gt;=1,3,IF($G28="Blocked",2,IF($G28="Conditional",4,1))),"")</f>
        <v/>
      </c>
      <c r="Q28">
        <f>IF(AND($D28&lt;&gt;"",$E28&lt;&gt;"",Q$5&gt;=$D28,Q$5&lt;=$E28),IF($F28&gt;=1,3,IF($G28="Blocked",2,IF($G28="Conditional",4,1))),"")</f>
        <v/>
      </c>
      <c r="R28">
        <f>IF(AND($D28&lt;&gt;"",$E28&lt;&gt;"",R$5&gt;=$D28,R$5&lt;=$E28),IF($F28&gt;=1,3,IF($G28="Blocked",2,IF($G28="Conditional",4,1))),"")</f>
        <v/>
      </c>
      <c r="S28">
        <f>IF(AND($D28&lt;&gt;"",$E28&lt;&gt;"",S$5&gt;=$D28,S$5&lt;=$E28),IF($F28&gt;=1,3,IF($G28="Blocked",2,IF($G28="Conditional",4,1))),"")</f>
        <v/>
      </c>
      <c r="T28">
        <f>IF(AND($D28&lt;&gt;"",$E28&lt;&gt;"",T$5&gt;=$D28,T$5&lt;=$E28),IF($F28&gt;=1,3,IF($G28="Blocked",2,IF($G28="Conditional",4,1))),"")</f>
        <v/>
      </c>
      <c r="U28">
        <f>IF(AND($D28&lt;&gt;"",$E28&lt;&gt;"",U$5&gt;=$D28,U$5&lt;=$E28),IF($F28&gt;=1,3,IF($G28="Blocked",2,IF($G28="Conditional",4,1))),"")</f>
        <v/>
      </c>
      <c r="V28">
        <f>IF(AND($D28&lt;&gt;"",$E28&lt;&gt;"",V$5&gt;=$D28,V$5&lt;=$E28),IF($F28&gt;=1,3,IF($G28="Blocked",2,IF($G28="Conditional",4,1))),"")</f>
        <v/>
      </c>
      <c r="W28">
        <f>IF(AND($D28&lt;&gt;"",$E28&lt;&gt;"",W$5&gt;=$D28,W$5&lt;=$E28),IF($F28&gt;=1,3,IF($G28="Blocked",2,IF($G28="Conditional",4,1))),"")</f>
        <v/>
      </c>
      <c r="X28">
        <f>IF(AND($D28&lt;&gt;"",$E28&lt;&gt;"",X$5&gt;=$D28,X$5&lt;=$E28),IF($F28&gt;=1,3,IF($G28="Blocked",2,IF($G28="Conditional",4,1))),"")</f>
        <v/>
      </c>
      <c r="Y28">
        <f>IF(AND($D28&lt;&gt;"",$E28&lt;&gt;"",Y$5&gt;=$D28,Y$5&lt;=$E28),IF($F28&gt;=1,3,IF($G28="Blocked",2,IF($G28="Conditional",4,1))),"")</f>
        <v/>
      </c>
      <c r="Z28">
        <f>IF(AND($D28&lt;&gt;"",$E28&lt;&gt;"",Z$5&gt;=$D28,Z$5&lt;=$E28),IF($F28&gt;=1,3,IF($G28="Blocked",2,IF($G28="Conditional",4,1))),"")</f>
        <v/>
      </c>
      <c r="AA28">
        <f>IF(AND($D28&lt;&gt;"",$E28&lt;&gt;"",AA$5&gt;=$D28,AA$5&lt;=$E28),IF($F28&gt;=1,3,IF($G28="Blocked",2,IF($G28="Conditional",4,1))),"")</f>
        <v/>
      </c>
      <c r="AB28">
        <f>IF(AND($D28&lt;&gt;"",$E28&lt;&gt;"",AB$5&gt;=$D28,AB$5&lt;=$E28),IF($F28&gt;=1,3,IF($G28="Blocked",2,IF($G28="Conditional",4,1))),"")</f>
        <v/>
      </c>
    </row>
    <row r="29" ht="21.75" customHeight="1">
      <c r="A29" s="8" t="inlineStr">
        <is>
          <t>WS4</t>
        </is>
      </c>
      <c r="B29" s="9" t="inlineStr">
        <is>
          <t>INTEGRATIONS &amp; INFRASTRUCTURE</t>
        </is>
      </c>
      <c r="C29" s="10" t="n"/>
      <c r="D29" s="10" t="n"/>
      <c r="E29" s="10" t="n"/>
      <c r="F29" s="10" t="n"/>
      <c r="G29" s="10" t="n"/>
      <c r="H29" s="10" t="n"/>
      <c r="I29" s="11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21.75" customHeight="1">
      <c r="A30" s="12" t="inlineStr">
        <is>
          <t>WS4.1</t>
        </is>
      </c>
      <c r="B30" s="2" t="inlineStr">
        <is>
          <t>Cloud object storage (photos, documents, video)</t>
        </is>
      </c>
      <c r="C30" s="13" t="inlineStr">
        <is>
          <t>Ujjawal</t>
        </is>
      </c>
      <c r="D30" s="13" t="n">
        <v>5</v>
      </c>
      <c r="E30" s="13" t="n">
        <v>6</v>
      </c>
      <c r="F30" s="14" t="n">
        <v>0</v>
      </c>
      <c r="G30" s="13" t="inlineStr">
        <is>
          <t>Blocked</t>
        </is>
      </c>
      <c r="H30">
        <f>IF(AND($D30&lt;&gt;"",$E30&lt;&gt;"",H$5&gt;=$D30,H$5&lt;=$E30),IF($F30&gt;=1,3,IF($G30="Blocked",2,IF($G30="Conditional",4,1))),"")</f>
        <v/>
      </c>
      <c r="I30" s="15">
        <f>IF(AND($D30&lt;&gt;"",$E30&lt;&gt;"",I$5&gt;=$D30,I$5&lt;=$E30),IF($F30&gt;=1,3,IF($G30="Blocked",2,IF($G30="Conditional",4,1))),"")</f>
        <v/>
      </c>
      <c r="J30">
        <f>IF(AND($D30&lt;&gt;"",$E30&lt;&gt;"",J$5&gt;=$D30,J$5&lt;=$E30),IF($F30&gt;=1,3,IF($G30="Blocked",2,IF($G30="Conditional",4,1))),"")</f>
        <v/>
      </c>
      <c r="K30">
        <f>IF(AND($D30&lt;&gt;"",$E30&lt;&gt;"",K$5&gt;=$D30,K$5&lt;=$E30),IF($F30&gt;=1,3,IF($G30="Blocked",2,IF($G30="Conditional",4,1))),"")</f>
        <v/>
      </c>
      <c r="L30">
        <f>IF(AND($D30&lt;&gt;"",$E30&lt;&gt;"",L$5&gt;=$D30,L$5&lt;=$E30),IF($F30&gt;=1,3,IF($G30="Blocked",2,IF($G30="Conditional",4,1))),"")</f>
        <v/>
      </c>
      <c r="M30">
        <f>IF(AND($D30&lt;&gt;"",$E30&lt;&gt;"",M$5&gt;=$D30,M$5&lt;=$E30),IF($F30&gt;=1,3,IF($G30="Blocked",2,IF($G30="Conditional",4,1))),"")</f>
        <v/>
      </c>
      <c r="N30">
        <f>IF(AND($D30&lt;&gt;"",$E30&lt;&gt;"",N$5&gt;=$D30,N$5&lt;=$E30),IF($F30&gt;=1,3,IF($G30="Blocked",2,IF($G30="Conditional",4,1))),"")</f>
        <v/>
      </c>
      <c r="O30">
        <f>IF(AND($D30&lt;&gt;"",$E30&lt;&gt;"",O$5&gt;=$D30,O$5&lt;=$E30),IF($F30&gt;=1,3,IF($G30="Blocked",2,IF($G30="Conditional",4,1))),"")</f>
        <v/>
      </c>
      <c r="P30">
        <f>IF(AND($D30&lt;&gt;"",$E30&lt;&gt;"",P$5&gt;=$D30,P$5&lt;=$E30),IF($F30&gt;=1,3,IF($G30="Blocked",2,IF($G30="Conditional",4,1))),"")</f>
        <v/>
      </c>
      <c r="Q30">
        <f>IF(AND($D30&lt;&gt;"",$E30&lt;&gt;"",Q$5&gt;=$D30,Q$5&lt;=$E30),IF($F30&gt;=1,3,IF($G30="Blocked",2,IF($G30="Conditional",4,1))),"")</f>
        <v/>
      </c>
      <c r="R30">
        <f>IF(AND($D30&lt;&gt;"",$E30&lt;&gt;"",R$5&gt;=$D30,R$5&lt;=$E30),IF($F30&gt;=1,3,IF($G30="Blocked",2,IF($G30="Conditional",4,1))),"")</f>
        <v/>
      </c>
      <c r="S30">
        <f>IF(AND($D30&lt;&gt;"",$E30&lt;&gt;"",S$5&gt;=$D30,S$5&lt;=$E30),IF($F30&gt;=1,3,IF($G30="Blocked",2,IF($G30="Conditional",4,1))),"")</f>
        <v/>
      </c>
      <c r="T30">
        <f>IF(AND($D30&lt;&gt;"",$E30&lt;&gt;"",T$5&gt;=$D30,T$5&lt;=$E30),IF($F30&gt;=1,3,IF($G30="Blocked",2,IF($G30="Conditional",4,1))),"")</f>
        <v/>
      </c>
      <c r="U30">
        <f>IF(AND($D30&lt;&gt;"",$E30&lt;&gt;"",U$5&gt;=$D30,U$5&lt;=$E30),IF($F30&gt;=1,3,IF($G30="Blocked",2,IF($G30="Conditional",4,1))),"")</f>
        <v/>
      </c>
      <c r="V30">
        <f>IF(AND($D30&lt;&gt;"",$E30&lt;&gt;"",V$5&gt;=$D30,V$5&lt;=$E30),IF($F30&gt;=1,3,IF($G30="Blocked",2,IF($G30="Conditional",4,1))),"")</f>
        <v/>
      </c>
      <c r="W30">
        <f>IF(AND($D30&lt;&gt;"",$E30&lt;&gt;"",W$5&gt;=$D30,W$5&lt;=$E30),IF($F30&gt;=1,3,IF($G30="Blocked",2,IF($G30="Conditional",4,1))),"")</f>
        <v/>
      </c>
      <c r="X30">
        <f>IF(AND($D30&lt;&gt;"",$E30&lt;&gt;"",X$5&gt;=$D30,X$5&lt;=$E30),IF($F30&gt;=1,3,IF($G30="Blocked",2,IF($G30="Conditional",4,1))),"")</f>
        <v/>
      </c>
      <c r="Y30">
        <f>IF(AND($D30&lt;&gt;"",$E30&lt;&gt;"",Y$5&gt;=$D30,Y$5&lt;=$E30),IF($F30&gt;=1,3,IF($G30="Blocked",2,IF($G30="Conditional",4,1))),"")</f>
        <v/>
      </c>
      <c r="Z30">
        <f>IF(AND($D30&lt;&gt;"",$E30&lt;&gt;"",Z$5&gt;=$D30,Z$5&lt;=$E30),IF($F30&gt;=1,3,IF($G30="Blocked",2,IF($G30="Conditional",4,1))),"")</f>
        <v/>
      </c>
      <c r="AA30">
        <f>IF(AND($D30&lt;&gt;"",$E30&lt;&gt;"",AA$5&gt;=$D30,AA$5&lt;=$E30),IF($F30&gt;=1,3,IF($G30="Blocked",2,IF($G30="Conditional",4,1))),"")</f>
        <v/>
      </c>
      <c r="AB30">
        <f>IF(AND($D30&lt;&gt;"",$E30&lt;&gt;"",AB$5&gt;=$D30,AB$5&lt;=$E30),IF($F30&gt;=1,3,IF($G30="Blocked",2,IF($G30="Conditional",4,1))),"")</f>
        <v/>
      </c>
    </row>
    <row r="31" ht="21.75" customHeight="1">
      <c r="A31" s="12" t="inlineStr">
        <is>
          <t>WS4.2</t>
        </is>
      </c>
      <c r="B31" s="2" t="inlineStr">
        <is>
          <t>WhatsApp Business API (via BSP)</t>
        </is>
      </c>
      <c r="C31" s="13" t="inlineStr">
        <is>
          <t>Ujjawal</t>
        </is>
      </c>
      <c r="D31" s="13" t="n">
        <v>9</v>
      </c>
      <c r="E31" s="13" t="n">
        <v>10</v>
      </c>
      <c r="F31" s="14" t="n">
        <v>0</v>
      </c>
      <c r="G31" s="13" t="inlineStr">
        <is>
          <t>Not started</t>
        </is>
      </c>
      <c r="H31">
        <f>IF(AND($D31&lt;&gt;"",$E31&lt;&gt;"",H$5&gt;=$D31,H$5&lt;=$E31),IF($F31&gt;=1,3,IF($G31="Blocked",2,IF($G31="Conditional",4,1))),"")</f>
        <v/>
      </c>
      <c r="I31" s="15">
        <f>IF(AND($D31&lt;&gt;"",$E31&lt;&gt;"",I$5&gt;=$D31,I$5&lt;=$E31),IF($F31&gt;=1,3,IF($G31="Blocked",2,IF($G31="Conditional",4,1))),"")</f>
        <v/>
      </c>
      <c r="J31">
        <f>IF(AND($D31&lt;&gt;"",$E31&lt;&gt;"",J$5&gt;=$D31,J$5&lt;=$E31),IF($F31&gt;=1,3,IF($G31="Blocked",2,IF($G31="Conditional",4,1))),"")</f>
        <v/>
      </c>
      <c r="K31">
        <f>IF(AND($D31&lt;&gt;"",$E31&lt;&gt;"",K$5&gt;=$D31,K$5&lt;=$E31),IF($F31&gt;=1,3,IF($G31="Blocked",2,IF($G31="Conditional",4,1))),"")</f>
        <v/>
      </c>
      <c r="L31">
        <f>IF(AND($D31&lt;&gt;"",$E31&lt;&gt;"",L$5&gt;=$D31,L$5&lt;=$E31),IF($F31&gt;=1,3,IF($G31="Blocked",2,IF($G31="Conditional",4,1))),"")</f>
        <v/>
      </c>
      <c r="M31">
        <f>IF(AND($D31&lt;&gt;"",$E31&lt;&gt;"",M$5&gt;=$D31,M$5&lt;=$E31),IF($F31&gt;=1,3,IF($G31="Blocked",2,IF($G31="Conditional",4,1))),"")</f>
        <v/>
      </c>
      <c r="N31">
        <f>IF(AND($D31&lt;&gt;"",$E31&lt;&gt;"",N$5&gt;=$D31,N$5&lt;=$E31),IF($F31&gt;=1,3,IF($G31="Blocked",2,IF($G31="Conditional",4,1))),"")</f>
        <v/>
      </c>
      <c r="O31">
        <f>IF(AND($D31&lt;&gt;"",$E31&lt;&gt;"",O$5&gt;=$D31,O$5&lt;=$E31),IF($F31&gt;=1,3,IF($G31="Blocked",2,IF($G31="Conditional",4,1))),"")</f>
        <v/>
      </c>
      <c r="P31">
        <f>IF(AND($D31&lt;&gt;"",$E31&lt;&gt;"",P$5&gt;=$D31,P$5&lt;=$E31),IF($F31&gt;=1,3,IF($G31="Blocked",2,IF($G31="Conditional",4,1))),"")</f>
        <v/>
      </c>
      <c r="Q31">
        <f>IF(AND($D31&lt;&gt;"",$E31&lt;&gt;"",Q$5&gt;=$D31,Q$5&lt;=$E31),IF($F31&gt;=1,3,IF($G31="Blocked",2,IF($G31="Conditional",4,1))),"")</f>
        <v/>
      </c>
      <c r="R31">
        <f>IF(AND($D31&lt;&gt;"",$E31&lt;&gt;"",R$5&gt;=$D31,R$5&lt;=$E31),IF($F31&gt;=1,3,IF($G31="Blocked",2,IF($G31="Conditional",4,1))),"")</f>
        <v/>
      </c>
      <c r="S31">
        <f>IF(AND($D31&lt;&gt;"",$E31&lt;&gt;"",S$5&gt;=$D31,S$5&lt;=$E31),IF($F31&gt;=1,3,IF($G31="Blocked",2,IF($G31="Conditional",4,1))),"")</f>
        <v/>
      </c>
      <c r="T31">
        <f>IF(AND($D31&lt;&gt;"",$E31&lt;&gt;"",T$5&gt;=$D31,T$5&lt;=$E31),IF($F31&gt;=1,3,IF($G31="Blocked",2,IF($G31="Conditional",4,1))),"")</f>
        <v/>
      </c>
      <c r="U31">
        <f>IF(AND($D31&lt;&gt;"",$E31&lt;&gt;"",U$5&gt;=$D31,U$5&lt;=$E31),IF($F31&gt;=1,3,IF($G31="Blocked",2,IF($G31="Conditional",4,1))),"")</f>
        <v/>
      </c>
      <c r="V31">
        <f>IF(AND($D31&lt;&gt;"",$E31&lt;&gt;"",V$5&gt;=$D31,V$5&lt;=$E31),IF($F31&gt;=1,3,IF($G31="Blocked",2,IF($G31="Conditional",4,1))),"")</f>
        <v/>
      </c>
      <c r="W31">
        <f>IF(AND($D31&lt;&gt;"",$E31&lt;&gt;"",W$5&gt;=$D31,W$5&lt;=$E31),IF($F31&gt;=1,3,IF($G31="Blocked",2,IF($G31="Conditional",4,1))),"")</f>
        <v/>
      </c>
      <c r="X31">
        <f>IF(AND($D31&lt;&gt;"",$E31&lt;&gt;"",X$5&gt;=$D31,X$5&lt;=$E31),IF($F31&gt;=1,3,IF($G31="Blocked",2,IF($G31="Conditional",4,1))),"")</f>
        <v/>
      </c>
      <c r="Y31">
        <f>IF(AND($D31&lt;&gt;"",$E31&lt;&gt;"",Y$5&gt;=$D31,Y$5&lt;=$E31),IF($F31&gt;=1,3,IF($G31="Blocked",2,IF($G31="Conditional",4,1))),"")</f>
        <v/>
      </c>
      <c r="Z31">
        <f>IF(AND($D31&lt;&gt;"",$E31&lt;&gt;"",Z$5&gt;=$D31,Z$5&lt;=$E31),IF($F31&gt;=1,3,IF($G31="Blocked",2,IF($G31="Conditional",4,1))),"")</f>
        <v/>
      </c>
      <c r="AA31">
        <f>IF(AND($D31&lt;&gt;"",$E31&lt;&gt;"",AA$5&gt;=$D31,AA$5&lt;=$E31),IF($F31&gt;=1,3,IF($G31="Blocked",2,IF($G31="Conditional",4,1))),"")</f>
        <v/>
      </c>
      <c r="AB31">
        <f>IF(AND($D31&lt;&gt;"",$E31&lt;&gt;"",AB$5&gt;=$D31,AB$5&lt;=$E31),IF($F31&gt;=1,3,IF($G31="Blocked",2,IF($G31="Conditional",4,1))),"")</f>
        <v/>
      </c>
    </row>
    <row r="32" ht="21.75" customHeight="1">
      <c r="A32" s="12" t="inlineStr">
        <is>
          <t>WS4.3</t>
        </is>
      </c>
      <c r="B32" s="2" t="inlineStr">
        <is>
          <t>SMS / OTP gateway</t>
        </is>
      </c>
      <c r="C32" s="13" t="inlineStr">
        <is>
          <t>Ujjawal</t>
        </is>
      </c>
      <c r="D32" s="13" t="n">
        <v>9</v>
      </c>
      <c r="E32" s="13" t="n">
        <v>10</v>
      </c>
      <c r="F32" s="14" t="n">
        <v>0</v>
      </c>
      <c r="G32" s="13" t="inlineStr">
        <is>
          <t>Not started</t>
        </is>
      </c>
      <c r="H32">
        <f>IF(AND($D32&lt;&gt;"",$E32&lt;&gt;"",H$5&gt;=$D32,H$5&lt;=$E32),IF($F32&gt;=1,3,IF($G32="Blocked",2,IF($G32="Conditional",4,1))),"")</f>
        <v/>
      </c>
      <c r="I32" s="15">
        <f>IF(AND($D32&lt;&gt;"",$E32&lt;&gt;"",I$5&gt;=$D32,I$5&lt;=$E32),IF($F32&gt;=1,3,IF($G32="Blocked",2,IF($G32="Conditional",4,1))),"")</f>
        <v/>
      </c>
      <c r="J32">
        <f>IF(AND($D32&lt;&gt;"",$E32&lt;&gt;"",J$5&gt;=$D32,J$5&lt;=$E32),IF($F32&gt;=1,3,IF($G32="Blocked",2,IF($G32="Conditional",4,1))),"")</f>
        <v/>
      </c>
      <c r="K32">
        <f>IF(AND($D32&lt;&gt;"",$E32&lt;&gt;"",K$5&gt;=$D32,K$5&lt;=$E32),IF($F32&gt;=1,3,IF($G32="Blocked",2,IF($G32="Conditional",4,1))),"")</f>
        <v/>
      </c>
      <c r="L32">
        <f>IF(AND($D32&lt;&gt;"",$E32&lt;&gt;"",L$5&gt;=$D32,L$5&lt;=$E32),IF($F32&gt;=1,3,IF($G32="Blocked",2,IF($G32="Conditional",4,1))),"")</f>
        <v/>
      </c>
      <c r="M32">
        <f>IF(AND($D32&lt;&gt;"",$E32&lt;&gt;"",M$5&gt;=$D32,M$5&lt;=$E32),IF($F32&gt;=1,3,IF($G32="Blocked",2,IF($G32="Conditional",4,1))),"")</f>
        <v/>
      </c>
      <c r="N32">
        <f>IF(AND($D32&lt;&gt;"",$E32&lt;&gt;"",N$5&gt;=$D32,N$5&lt;=$E32),IF($F32&gt;=1,3,IF($G32="Blocked",2,IF($G32="Conditional",4,1))),"")</f>
        <v/>
      </c>
      <c r="O32">
        <f>IF(AND($D32&lt;&gt;"",$E32&lt;&gt;"",O$5&gt;=$D32,O$5&lt;=$E32),IF($F32&gt;=1,3,IF($G32="Blocked",2,IF($G32="Conditional",4,1))),"")</f>
        <v/>
      </c>
      <c r="P32">
        <f>IF(AND($D32&lt;&gt;"",$E32&lt;&gt;"",P$5&gt;=$D32,P$5&lt;=$E32),IF($F32&gt;=1,3,IF($G32="Blocked",2,IF($G32="Conditional",4,1))),"")</f>
        <v/>
      </c>
      <c r="Q32">
        <f>IF(AND($D32&lt;&gt;"",$E32&lt;&gt;"",Q$5&gt;=$D32,Q$5&lt;=$E32),IF($F32&gt;=1,3,IF($G32="Blocked",2,IF($G32="Conditional",4,1))),"")</f>
        <v/>
      </c>
      <c r="R32">
        <f>IF(AND($D32&lt;&gt;"",$E32&lt;&gt;"",R$5&gt;=$D32,R$5&lt;=$E32),IF($F32&gt;=1,3,IF($G32="Blocked",2,IF($G32="Conditional",4,1))),"")</f>
        <v/>
      </c>
      <c r="S32">
        <f>IF(AND($D32&lt;&gt;"",$E32&lt;&gt;"",S$5&gt;=$D32,S$5&lt;=$E32),IF($F32&gt;=1,3,IF($G32="Blocked",2,IF($G32="Conditional",4,1))),"")</f>
        <v/>
      </c>
      <c r="T32">
        <f>IF(AND($D32&lt;&gt;"",$E32&lt;&gt;"",T$5&gt;=$D32,T$5&lt;=$E32),IF($F32&gt;=1,3,IF($G32="Blocked",2,IF($G32="Conditional",4,1))),"")</f>
        <v/>
      </c>
      <c r="U32">
        <f>IF(AND($D32&lt;&gt;"",$E32&lt;&gt;"",U$5&gt;=$D32,U$5&lt;=$E32),IF($F32&gt;=1,3,IF($G32="Blocked",2,IF($G32="Conditional",4,1))),"")</f>
        <v/>
      </c>
      <c r="V32">
        <f>IF(AND($D32&lt;&gt;"",$E32&lt;&gt;"",V$5&gt;=$D32,V$5&lt;=$E32),IF($F32&gt;=1,3,IF($G32="Blocked",2,IF($G32="Conditional",4,1))),"")</f>
        <v/>
      </c>
      <c r="W32">
        <f>IF(AND($D32&lt;&gt;"",$E32&lt;&gt;"",W$5&gt;=$D32,W$5&lt;=$E32),IF($F32&gt;=1,3,IF($G32="Blocked",2,IF($G32="Conditional",4,1))),"")</f>
        <v/>
      </c>
      <c r="X32">
        <f>IF(AND($D32&lt;&gt;"",$E32&lt;&gt;"",X$5&gt;=$D32,X$5&lt;=$E32),IF($F32&gt;=1,3,IF($G32="Blocked",2,IF($G32="Conditional",4,1))),"")</f>
        <v/>
      </c>
      <c r="Y32">
        <f>IF(AND($D32&lt;&gt;"",$E32&lt;&gt;"",Y$5&gt;=$D32,Y$5&lt;=$E32),IF($F32&gt;=1,3,IF($G32="Blocked",2,IF($G32="Conditional",4,1))),"")</f>
        <v/>
      </c>
      <c r="Z32">
        <f>IF(AND($D32&lt;&gt;"",$E32&lt;&gt;"",Z$5&gt;=$D32,Z$5&lt;=$E32),IF($F32&gt;=1,3,IF($G32="Blocked",2,IF($G32="Conditional",4,1))),"")</f>
        <v/>
      </c>
      <c r="AA32">
        <f>IF(AND($D32&lt;&gt;"",$E32&lt;&gt;"",AA$5&gt;=$D32,AA$5&lt;=$E32),IF($F32&gt;=1,3,IF($G32="Blocked",2,IF($G32="Conditional",4,1))),"")</f>
        <v/>
      </c>
      <c r="AB32">
        <f>IF(AND($D32&lt;&gt;"",$E32&lt;&gt;"",AB$5&gt;=$D32,AB$5&lt;=$E32),IF($F32&gt;=1,3,IF($G32="Blocked",2,IF($G32="Conditional",4,1))),"")</f>
        <v/>
      </c>
    </row>
    <row r="33" ht="21.75" customHeight="1">
      <c r="A33" s="12" t="inlineStr">
        <is>
          <t>WS4.4</t>
        </is>
      </c>
      <c r="B33" s="2" t="inlineStr">
        <is>
          <t>GST e-invoicing (IRN/IRP) &amp; e-way bill via GST Suvidha Provider</t>
        </is>
      </c>
      <c r="C33" s="13" t="inlineStr">
        <is>
          <t>Ujjawal</t>
        </is>
      </c>
      <c r="D33" s="13" t="n">
        <v>7</v>
      </c>
      <c r="E33" s="13" t="n">
        <v>9</v>
      </c>
      <c r="F33" s="14" t="n">
        <v>0</v>
      </c>
      <c r="G33" s="13" t="inlineStr">
        <is>
          <t>Not started</t>
        </is>
      </c>
      <c r="H33">
        <f>IF(AND($D33&lt;&gt;"",$E33&lt;&gt;"",H$5&gt;=$D33,H$5&lt;=$E33),IF($F33&gt;=1,3,IF($G33="Blocked",2,IF($G33="Conditional",4,1))),"")</f>
        <v/>
      </c>
      <c r="I33" s="15">
        <f>IF(AND($D33&lt;&gt;"",$E33&lt;&gt;"",I$5&gt;=$D33,I$5&lt;=$E33),IF($F33&gt;=1,3,IF($G33="Blocked",2,IF($G33="Conditional",4,1))),"")</f>
        <v/>
      </c>
      <c r="J33">
        <f>IF(AND($D33&lt;&gt;"",$E33&lt;&gt;"",J$5&gt;=$D33,J$5&lt;=$E33),IF($F33&gt;=1,3,IF($G33="Blocked",2,IF($G33="Conditional",4,1))),"")</f>
        <v/>
      </c>
      <c r="K33">
        <f>IF(AND($D33&lt;&gt;"",$E33&lt;&gt;"",K$5&gt;=$D33,K$5&lt;=$E33),IF($F33&gt;=1,3,IF($G33="Blocked",2,IF($G33="Conditional",4,1))),"")</f>
        <v/>
      </c>
      <c r="L33">
        <f>IF(AND($D33&lt;&gt;"",$E33&lt;&gt;"",L$5&gt;=$D33,L$5&lt;=$E33),IF($F33&gt;=1,3,IF($G33="Blocked",2,IF($G33="Conditional",4,1))),"")</f>
        <v/>
      </c>
      <c r="M33">
        <f>IF(AND($D33&lt;&gt;"",$E33&lt;&gt;"",M$5&gt;=$D33,M$5&lt;=$E33),IF($F33&gt;=1,3,IF($G33="Blocked",2,IF($G33="Conditional",4,1))),"")</f>
        <v/>
      </c>
      <c r="N33">
        <f>IF(AND($D33&lt;&gt;"",$E33&lt;&gt;"",N$5&gt;=$D33,N$5&lt;=$E33),IF($F33&gt;=1,3,IF($G33="Blocked",2,IF($G33="Conditional",4,1))),"")</f>
        <v/>
      </c>
      <c r="O33">
        <f>IF(AND($D33&lt;&gt;"",$E33&lt;&gt;"",O$5&gt;=$D33,O$5&lt;=$E33),IF($F33&gt;=1,3,IF($G33="Blocked",2,IF($G33="Conditional",4,1))),"")</f>
        <v/>
      </c>
      <c r="P33">
        <f>IF(AND($D33&lt;&gt;"",$E33&lt;&gt;"",P$5&gt;=$D33,P$5&lt;=$E33),IF($F33&gt;=1,3,IF($G33="Blocked",2,IF($G33="Conditional",4,1))),"")</f>
        <v/>
      </c>
      <c r="Q33">
        <f>IF(AND($D33&lt;&gt;"",$E33&lt;&gt;"",Q$5&gt;=$D33,Q$5&lt;=$E33),IF($F33&gt;=1,3,IF($G33="Blocked",2,IF($G33="Conditional",4,1))),"")</f>
        <v/>
      </c>
      <c r="R33">
        <f>IF(AND($D33&lt;&gt;"",$E33&lt;&gt;"",R$5&gt;=$D33,R$5&lt;=$E33),IF($F33&gt;=1,3,IF($G33="Blocked",2,IF($G33="Conditional",4,1))),"")</f>
        <v/>
      </c>
      <c r="S33">
        <f>IF(AND($D33&lt;&gt;"",$E33&lt;&gt;"",S$5&gt;=$D33,S$5&lt;=$E33),IF($F33&gt;=1,3,IF($G33="Blocked",2,IF($G33="Conditional",4,1))),"")</f>
        <v/>
      </c>
      <c r="T33">
        <f>IF(AND($D33&lt;&gt;"",$E33&lt;&gt;"",T$5&gt;=$D33,T$5&lt;=$E33),IF($F33&gt;=1,3,IF($G33="Blocked",2,IF($G33="Conditional",4,1))),"")</f>
        <v/>
      </c>
      <c r="U33">
        <f>IF(AND($D33&lt;&gt;"",$E33&lt;&gt;"",U$5&gt;=$D33,U$5&lt;=$E33),IF($F33&gt;=1,3,IF($G33="Blocked",2,IF($G33="Conditional",4,1))),"")</f>
        <v/>
      </c>
      <c r="V33">
        <f>IF(AND($D33&lt;&gt;"",$E33&lt;&gt;"",V$5&gt;=$D33,V$5&lt;=$E33),IF($F33&gt;=1,3,IF($G33="Blocked",2,IF($G33="Conditional",4,1))),"")</f>
        <v/>
      </c>
      <c r="W33">
        <f>IF(AND($D33&lt;&gt;"",$E33&lt;&gt;"",W$5&gt;=$D33,W$5&lt;=$E33),IF($F33&gt;=1,3,IF($G33="Blocked",2,IF($G33="Conditional",4,1))),"")</f>
        <v/>
      </c>
      <c r="X33">
        <f>IF(AND($D33&lt;&gt;"",$E33&lt;&gt;"",X$5&gt;=$D33,X$5&lt;=$E33),IF($F33&gt;=1,3,IF($G33="Blocked",2,IF($G33="Conditional",4,1))),"")</f>
        <v/>
      </c>
      <c r="Y33">
        <f>IF(AND($D33&lt;&gt;"",$E33&lt;&gt;"",Y$5&gt;=$D33,Y$5&lt;=$E33),IF($F33&gt;=1,3,IF($G33="Blocked",2,IF($G33="Conditional",4,1))),"")</f>
        <v/>
      </c>
      <c r="Z33">
        <f>IF(AND($D33&lt;&gt;"",$E33&lt;&gt;"",Z$5&gt;=$D33,Z$5&lt;=$E33),IF($F33&gt;=1,3,IF($G33="Blocked",2,IF($G33="Conditional",4,1))),"")</f>
        <v/>
      </c>
      <c r="AA33">
        <f>IF(AND($D33&lt;&gt;"",$E33&lt;&gt;"",AA$5&gt;=$D33,AA$5&lt;=$E33),IF($F33&gt;=1,3,IF($G33="Blocked",2,IF($G33="Conditional",4,1))),"")</f>
        <v/>
      </c>
      <c r="AB33">
        <f>IF(AND($D33&lt;&gt;"",$E33&lt;&gt;"",AB$5&gt;=$D33,AB$5&lt;=$E33),IF($F33&gt;=1,3,IF($G33="Blocked",2,IF($G33="Conditional",4,1))),"")</f>
        <v/>
      </c>
    </row>
    <row r="34" ht="21.75" customHeight="1">
      <c r="A34" s="12" t="inlineStr">
        <is>
          <t>WS4.5</t>
        </is>
      </c>
      <c r="B34" s="2" t="inlineStr">
        <is>
          <t>Payment gateway - Razorpay (B2C confirmed, was on hold)</t>
        </is>
      </c>
      <c r="C34" s="13" t="inlineStr">
        <is>
          <t>Ujjawal</t>
        </is>
      </c>
      <c r="D34" s="13" t="n">
        <v>12</v>
      </c>
      <c r="E34" s="13" t="n">
        <v>13</v>
      </c>
      <c r="F34" s="14" t="n">
        <v>0</v>
      </c>
      <c r="G34" s="13" t="inlineStr">
        <is>
          <t>Conditional</t>
        </is>
      </c>
      <c r="H34">
        <f>IF(AND($D34&lt;&gt;"",$E34&lt;&gt;"",H$5&gt;=$D34,H$5&lt;=$E34),IF($F34&gt;=1,3,IF($G34="Blocked",2,IF($G34="Conditional",4,1))),"")</f>
        <v/>
      </c>
      <c r="I34" s="15">
        <f>IF(AND($D34&lt;&gt;"",$E34&lt;&gt;"",I$5&gt;=$D34,I$5&lt;=$E34),IF($F34&gt;=1,3,IF($G34="Blocked",2,IF($G34="Conditional",4,1))),"")</f>
        <v/>
      </c>
      <c r="J34">
        <f>IF(AND($D34&lt;&gt;"",$E34&lt;&gt;"",J$5&gt;=$D34,J$5&lt;=$E34),IF($F34&gt;=1,3,IF($G34="Blocked",2,IF($G34="Conditional",4,1))),"")</f>
        <v/>
      </c>
      <c r="K34">
        <f>IF(AND($D34&lt;&gt;"",$E34&lt;&gt;"",K$5&gt;=$D34,K$5&lt;=$E34),IF($F34&gt;=1,3,IF($G34="Blocked",2,IF($G34="Conditional",4,1))),"")</f>
        <v/>
      </c>
      <c r="L34">
        <f>IF(AND($D34&lt;&gt;"",$E34&lt;&gt;"",L$5&gt;=$D34,L$5&lt;=$E34),IF($F34&gt;=1,3,IF($G34="Blocked",2,IF($G34="Conditional",4,1))),"")</f>
        <v/>
      </c>
      <c r="M34">
        <f>IF(AND($D34&lt;&gt;"",$E34&lt;&gt;"",M$5&gt;=$D34,M$5&lt;=$E34),IF($F34&gt;=1,3,IF($G34="Blocked",2,IF($G34="Conditional",4,1))),"")</f>
        <v/>
      </c>
      <c r="N34">
        <f>IF(AND($D34&lt;&gt;"",$E34&lt;&gt;"",N$5&gt;=$D34,N$5&lt;=$E34),IF($F34&gt;=1,3,IF($G34="Blocked",2,IF($G34="Conditional",4,1))),"")</f>
        <v/>
      </c>
      <c r="O34">
        <f>IF(AND($D34&lt;&gt;"",$E34&lt;&gt;"",O$5&gt;=$D34,O$5&lt;=$E34),IF($F34&gt;=1,3,IF($G34="Blocked",2,IF($G34="Conditional",4,1))),"")</f>
        <v/>
      </c>
      <c r="P34">
        <f>IF(AND($D34&lt;&gt;"",$E34&lt;&gt;"",P$5&gt;=$D34,P$5&lt;=$E34),IF($F34&gt;=1,3,IF($G34="Blocked",2,IF($G34="Conditional",4,1))),"")</f>
        <v/>
      </c>
      <c r="Q34">
        <f>IF(AND($D34&lt;&gt;"",$E34&lt;&gt;"",Q$5&gt;=$D34,Q$5&lt;=$E34),IF($F34&gt;=1,3,IF($G34="Blocked",2,IF($G34="Conditional",4,1))),"")</f>
        <v/>
      </c>
      <c r="R34">
        <f>IF(AND($D34&lt;&gt;"",$E34&lt;&gt;"",R$5&gt;=$D34,R$5&lt;=$E34),IF($F34&gt;=1,3,IF($G34="Blocked",2,IF($G34="Conditional",4,1))),"")</f>
        <v/>
      </c>
      <c r="S34">
        <f>IF(AND($D34&lt;&gt;"",$E34&lt;&gt;"",S$5&gt;=$D34,S$5&lt;=$E34),IF($F34&gt;=1,3,IF($G34="Blocked",2,IF($G34="Conditional",4,1))),"")</f>
        <v/>
      </c>
      <c r="T34">
        <f>IF(AND($D34&lt;&gt;"",$E34&lt;&gt;"",T$5&gt;=$D34,T$5&lt;=$E34),IF($F34&gt;=1,3,IF($G34="Blocked",2,IF($G34="Conditional",4,1))),"")</f>
        <v/>
      </c>
      <c r="U34">
        <f>IF(AND($D34&lt;&gt;"",$E34&lt;&gt;"",U$5&gt;=$D34,U$5&lt;=$E34),IF($F34&gt;=1,3,IF($G34="Blocked",2,IF($G34="Conditional",4,1))),"")</f>
        <v/>
      </c>
      <c r="V34">
        <f>IF(AND($D34&lt;&gt;"",$E34&lt;&gt;"",V$5&gt;=$D34,V$5&lt;=$E34),IF($F34&gt;=1,3,IF($G34="Blocked",2,IF($G34="Conditional",4,1))),"")</f>
        <v/>
      </c>
      <c r="W34">
        <f>IF(AND($D34&lt;&gt;"",$E34&lt;&gt;"",W$5&gt;=$D34,W$5&lt;=$E34),IF($F34&gt;=1,3,IF($G34="Blocked",2,IF($G34="Conditional",4,1))),"")</f>
        <v/>
      </c>
      <c r="X34">
        <f>IF(AND($D34&lt;&gt;"",$E34&lt;&gt;"",X$5&gt;=$D34,X$5&lt;=$E34),IF($F34&gt;=1,3,IF($G34="Blocked",2,IF($G34="Conditional",4,1))),"")</f>
        <v/>
      </c>
      <c r="Y34">
        <f>IF(AND($D34&lt;&gt;"",$E34&lt;&gt;"",Y$5&gt;=$D34,Y$5&lt;=$E34),IF($F34&gt;=1,3,IF($G34="Blocked",2,IF($G34="Conditional",4,1))),"")</f>
        <v/>
      </c>
      <c r="Z34">
        <f>IF(AND($D34&lt;&gt;"",$E34&lt;&gt;"",Z$5&gt;=$D34,Z$5&lt;=$E34),IF($F34&gt;=1,3,IF($G34="Blocked",2,IF($G34="Conditional",4,1))),"")</f>
        <v/>
      </c>
      <c r="AA34">
        <f>IF(AND($D34&lt;&gt;"",$E34&lt;&gt;"",AA$5&gt;=$D34,AA$5&lt;=$E34),IF($F34&gt;=1,3,IF($G34="Blocked",2,IF($G34="Conditional",4,1))),"")</f>
        <v/>
      </c>
      <c r="AB34">
        <f>IF(AND($D34&lt;&gt;"",$E34&lt;&gt;"",AB$5&gt;=$D34,AB$5&lt;=$E34),IF($F34&gt;=1,3,IF($G34="Blocked",2,IF($G34="Conditional",4,1))),"")</f>
        <v/>
      </c>
    </row>
    <row r="35" ht="21.75" customHeight="1">
      <c r="A35" s="8" t="inlineStr">
        <is>
          <t>WS5</t>
        </is>
      </c>
      <c r="B35" s="9" t="inlineStr">
        <is>
          <t>QUALITY, DEPLOYMENT &amp; HANDOVER</t>
        </is>
      </c>
      <c r="C35" s="10" t="n"/>
      <c r="D35" s="10" t="n"/>
      <c r="E35" s="10" t="n"/>
      <c r="F35" s="10" t="n"/>
      <c r="G35" s="10" t="n"/>
      <c r="H35" s="10" t="n"/>
      <c r="I35" s="11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21.75" customHeight="1">
      <c r="A36" s="12" t="inlineStr">
        <is>
          <t>WS5.1</t>
        </is>
      </c>
      <c r="B36" s="2" t="inlineStr">
        <is>
          <t>Automated test suite &amp; continuous integration</t>
        </is>
      </c>
      <c r="C36" s="13" t="inlineStr">
        <is>
          <t>Ujjawal</t>
        </is>
      </c>
      <c r="D36" s="13" t="n">
        <v>1</v>
      </c>
      <c r="E36" s="13" t="n">
        <v>16</v>
      </c>
      <c r="F36" s="14" t="n">
        <v>0.45</v>
      </c>
      <c r="G36" s="13" t="inlineStr">
        <is>
          <t>In progress</t>
        </is>
      </c>
      <c r="H36">
        <f>IF(AND($D36&lt;&gt;"",$E36&lt;&gt;"",H$5&gt;=$D36,H$5&lt;=$E36),IF($F36&gt;=1,3,IF($G36="Blocked",2,IF($G36="Conditional",4,1))),"")</f>
        <v/>
      </c>
      <c r="I36" s="15">
        <f>IF(AND($D36&lt;&gt;"",$E36&lt;&gt;"",I$5&gt;=$D36,I$5&lt;=$E36),IF($F36&gt;=1,3,IF($G36="Blocked",2,IF($G36="Conditional",4,1))),"")</f>
        <v/>
      </c>
      <c r="J36">
        <f>IF(AND($D36&lt;&gt;"",$E36&lt;&gt;"",J$5&gt;=$D36,J$5&lt;=$E36),IF($F36&gt;=1,3,IF($G36="Blocked",2,IF($G36="Conditional",4,1))),"")</f>
        <v/>
      </c>
      <c r="K36">
        <f>IF(AND($D36&lt;&gt;"",$E36&lt;&gt;"",K$5&gt;=$D36,K$5&lt;=$E36),IF($F36&gt;=1,3,IF($G36="Blocked",2,IF($G36="Conditional",4,1))),"")</f>
        <v/>
      </c>
      <c r="L36">
        <f>IF(AND($D36&lt;&gt;"",$E36&lt;&gt;"",L$5&gt;=$D36,L$5&lt;=$E36),IF($F36&gt;=1,3,IF($G36="Blocked",2,IF($G36="Conditional",4,1))),"")</f>
        <v/>
      </c>
      <c r="M36">
        <f>IF(AND($D36&lt;&gt;"",$E36&lt;&gt;"",M$5&gt;=$D36,M$5&lt;=$E36),IF($F36&gt;=1,3,IF($G36="Blocked",2,IF($G36="Conditional",4,1))),"")</f>
        <v/>
      </c>
      <c r="N36">
        <f>IF(AND($D36&lt;&gt;"",$E36&lt;&gt;"",N$5&gt;=$D36,N$5&lt;=$E36),IF($F36&gt;=1,3,IF($G36="Blocked",2,IF($G36="Conditional",4,1))),"")</f>
        <v/>
      </c>
      <c r="O36">
        <f>IF(AND($D36&lt;&gt;"",$E36&lt;&gt;"",O$5&gt;=$D36,O$5&lt;=$E36),IF($F36&gt;=1,3,IF($G36="Blocked",2,IF($G36="Conditional",4,1))),"")</f>
        <v/>
      </c>
      <c r="P36">
        <f>IF(AND($D36&lt;&gt;"",$E36&lt;&gt;"",P$5&gt;=$D36,P$5&lt;=$E36),IF($F36&gt;=1,3,IF($G36="Blocked",2,IF($G36="Conditional",4,1))),"")</f>
        <v/>
      </c>
      <c r="Q36">
        <f>IF(AND($D36&lt;&gt;"",$E36&lt;&gt;"",Q$5&gt;=$D36,Q$5&lt;=$E36),IF($F36&gt;=1,3,IF($G36="Blocked",2,IF($G36="Conditional",4,1))),"")</f>
        <v/>
      </c>
      <c r="R36">
        <f>IF(AND($D36&lt;&gt;"",$E36&lt;&gt;"",R$5&gt;=$D36,R$5&lt;=$E36),IF($F36&gt;=1,3,IF($G36="Blocked",2,IF($G36="Conditional",4,1))),"")</f>
        <v/>
      </c>
      <c r="S36">
        <f>IF(AND($D36&lt;&gt;"",$E36&lt;&gt;"",S$5&gt;=$D36,S$5&lt;=$E36),IF($F36&gt;=1,3,IF($G36="Blocked",2,IF($G36="Conditional",4,1))),"")</f>
        <v/>
      </c>
      <c r="T36">
        <f>IF(AND($D36&lt;&gt;"",$E36&lt;&gt;"",T$5&gt;=$D36,T$5&lt;=$E36),IF($F36&gt;=1,3,IF($G36="Blocked",2,IF($G36="Conditional",4,1))),"")</f>
        <v/>
      </c>
      <c r="U36">
        <f>IF(AND($D36&lt;&gt;"",$E36&lt;&gt;"",U$5&gt;=$D36,U$5&lt;=$E36),IF($F36&gt;=1,3,IF($G36="Blocked",2,IF($G36="Conditional",4,1))),"")</f>
        <v/>
      </c>
      <c r="V36">
        <f>IF(AND($D36&lt;&gt;"",$E36&lt;&gt;"",V$5&gt;=$D36,V$5&lt;=$E36),IF($F36&gt;=1,3,IF($G36="Blocked",2,IF($G36="Conditional",4,1))),"")</f>
        <v/>
      </c>
      <c r="W36">
        <f>IF(AND($D36&lt;&gt;"",$E36&lt;&gt;"",W$5&gt;=$D36,W$5&lt;=$E36),IF($F36&gt;=1,3,IF($G36="Blocked",2,IF($G36="Conditional",4,1))),"")</f>
        <v/>
      </c>
      <c r="X36">
        <f>IF(AND($D36&lt;&gt;"",$E36&lt;&gt;"",X$5&gt;=$D36,X$5&lt;=$E36),IF($F36&gt;=1,3,IF($G36="Blocked",2,IF($G36="Conditional",4,1))),"")</f>
        <v/>
      </c>
      <c r="Y36">
        <f>IF(AND($D36&lt;&gt;"",$E36&lt;&gt;"",Y$5&gt;=$D36,Y$5&lt;=$E36),IF($F36&gt;=1,3,IF($G36="Blocked",2,IF($G36="Conditional",4,1))),"")</f>
        <v/>
      </c>
      <c r="Z36">
        <f>IF(AND($D36&lt;&gt;"",$E36&lt;&gt;"",Z$5&gt;=$D36,Z$5&lt;=$E36),IF($F36&gt;=1,3,IF($G36="Blocked",2,IF($G36="Conditional",4,1))),"")</f>
        <v/>
      </c>
      <c r="AA36">
        <f>IF(AND($D36&lt;&gt;"",$E36&lt;&gt;"",AA$5&gt;=$D36,AA$5&lt;=$E36),IF($F36&gt;=1,3,IF($G36="Blocked",2,IF($G36="Conditional",4,1))),"")</f>
        <v/>
      </c>
      <c r="AB36">
        <f>IF(AND($D36&lt;&gt;"",$E36&lt;&gt;"",AB$5&gt;=$D36,AB$5&lt;=$E36),IF($F36&gt;=1,3,IF($G36="Blocked",2,IF($G36="Conditional",4,1))),"")</f>
        <v/>
      </c>
    </row>
    <row r="37" ht="21.75" customHeight="1">
      <c r="A37" s="12" t="inlineStr">
        <is>
          <t>WS5.2</t>
        </is>
      </c>
      <c r="B37" s="2" t="inlineStr">
        <is>
          <t>Staging environment &amp; deployment pipeline</t>
        </is>
      </c>
      <c r="C37" s="13" t="inlineStr">
        <is>
          <t>Ujjawal</t>
        </is>
      </c>
      <c r="D37" s="13" t="n">
        <v>2</v>
      </c>
      <c r="E37" s="13" t="n">
        <v>3</v>
      </c>
      <c r="F37" s="14" t="n">
        <v>0</v>
      </c>
      <c r="G37" s="13" t="inlineStr">
        <is>
          <t>Not started</t>
        </is>
      </c>
      <c r="H37">
        <f>IF(AND($D37&lt;&gt;"",$E37&lt;&gt;"",H$5&gt;=$D37,H$5&lt;=$E37),IF($F37&gt;=1,3,IF($G37="Blocked",2,IF($G37="Conditional",4,1))),"")</f>
        <v/>
      </c>
      <c r="I37" s="15">
        <f>IF(AND($D37&lt;&gt;"",$E37&lt;&gt;"",I$5&gt;=$D37,I$5&lt;=$E37),IF($F37&gt;=1,3,IF($G37="Blocked",2,IF($G37="Conditional",4,1))),"")</f>
        <v/>
      </c>
      <c r="J37">
        <f>IF(AND($D37&lt;&gt;"",$E37&lt;&gt;"",J$5&gt;=$D37,J$5&lt;=$E37),IF($F37&gt;=1,3,IF($G37="Blocked",2,IF($G37="Conditional",4,1))),"")</f>
        <v/>
      </c>
      <c r="K37">
        <f>IF(AND($D37&lt;&gt;"",$E37&lt;&gt;"",K$5&gt;=$D37,K$5&lt;=$E37),IF($F37&gt;=1,3,IF($G37="Blocked",2,IF($G37="Conditional",4,1))),"")</f>
        <v/>
      </c>
      <c r="L37">
        <f>IF(AND($D37&lt;&gt;"",$E37&lt;&gt;"",L$5&gt;=$D37,L$5&lt;=$E37),IF($F37&gt;=1,3,IF($G37="Blocked",2,IF($G37="Conditional",4,1))),"")</f>
        <v/>
      </c>
      <c r="M37">
        <f>IF(AND($D37&lt;&gt;"",$E37&lt;&gt;"",M$5&gt;=$D37,M$5&lt;=$E37),IF($F37&gt;=1,3,IF($G37="Blocked",2,IF($G37="Conditional",4,1))),"")</f>
        <v/>
      </c>
      <c r="N37">
        <f>IF(AND($D37&lt;&gt;"",$E37&lt;&gt;"",N$5&gt;=$D37,N$5&lt;=$E37),IF($F37&gt;=1,3,IF($G37="Blocked",2,IF($G37="Conditional",4,1))),"")</f>
        <v/>
      </c>
      <c r="O37">
        <f>IF(AND($D37&lt;&gt;"",$E37&lt;&gt;"",O$5&gt;=$D37,O$5&lt;=$E37),IF($F37&gt;=1,3,IF($G37="Blocked",2,IF($G37="Conditional",4,1))),"")</f>
        <v/>
      </c>
      <c r="P37">
        <f>IF(AND($D37&lt;&gt;"",$E37&lt;&gt;"",P$5&gt;=$D37,P$5&lt;=$E37),IF($F37&gt;=1,3,IF($G37="Blocked",2,IF($G37="Conditional",4,1))),"")</f>
        <v/>
      </c>
      <c r="Q37">
        <f>IF(AND($D37&lt;&gt;"",$E37&lt;&gt;"",Q$5&gt;=$D37,Q$5&lt;=$E37),IF($F37&gt;=1,3,IF($G37="Blocked",2,IF($G37="Conditional",4,1))),"")</f>
        <v/>
      </c>
      <c r="R37">
        <f>IF(AND($D37&lt;&gt;"",$E37&lt;&gt;"",R$5&gt;=$D37,R$5&lt;=$E37),IF($F37&gt;=1,3,IF($G37="Blocked",2,IF($G37="Conditional",4,1))),"")</f>
        <v/>
      </c>
      <c r="S37">
        <f>IF(AND($D37&lt;&gt;"",$E37&lt;&gt;"",S$5&gt;=$D37,S$5&lt;=$E37),IF($F37&gt;=1,3,IF($G37="Blocked",2,IF($G37="Conditional",4,1))),"")</f>
        <v/>
      </c>
      <c r="T37">
        <f>IF(AND($D37&lt;&gt;"",$E37&lt;&gt;"",T$5&gt;=$D37,T$5&lt;=$E37),IF($F37&gt;=1,3,IF($G37="Blocked",2,IF($G37="Conditional",4,1))),"")</f>
        <v/>
      </c>
      <c r="U37">
        <f>IF(AND($D37&lt;&gt;"",$E37&lt;&gt;"",U$5&gt;=$D37,U$5&lt;=$E37),IF($F37&gt;=1,3,IF($G37="Blocked",2,IF($G37="Conditional",4,1))),"")</f>
        <v/>
      </c>
      <c r="V37">
        <f>IF(AND($D37&lt;&gt;"",$E37&lt;&gt;"",V$5&gt;=$D37,V$5&lt;=$E37),IF($F37&gt;=1,3,IF($G37="Blocked",2,IF($G37="Conditional",4,1))),"")</f>
        <v/>
      </c>
      <c r="W37">
        <f>IF(AND($D37&lt;&gt;"",$E37&lt;&gt;"",W$5&gt;=$D37,W$5&lt;=$E37),IF($F37&gt;=1,3,IF($G37="Blocked",2,IF($G37="Conditional",4,1))),"")</f>
        <v/>
      </c>
      <c r="X37">
        <f>IF(AND($D37&lt;&gt;"",$E37&lt;&gt;"",X$5&gt;=$D37,X$5&lt;=$E37),IF($F37&gt;=1,3,IF($G37="Blocked",2,IF($G37="Conditional",4,1))),"")</f>
        <v/>
      </c>
      <c r="Y37">
        <f>IF(AND($D37&lt;&gt;"",$E37&lt;&gt;"",Y$5&gt;=$D37,Y$5&lt;=$E37),IF($F37&gt;=1,3,IF($G37="Blocked",2,IF($G37="Conditional",4,1))),"")</f>
        <v/>
      </c>
      <c r="Z37">
        <f>IF(AND($D37&lt;&gt;"",$E37&lt;&gt;"",Z$5&gt;=$D37,Z$5&lt;=$E37),IF($F37&gt;=1,3,IF($G37="Blocked",2,IF($G37="Conditional",4,1))),"")</f>
        <v/>
      </c>
      <c r="AA37">
        <f>IF(AND($D37&lt;&gt;"",$E37&lt;&gt;"",AA$5&gt;=$D37,AA$5&lt;=$E37),IF($F37&gt;=1,3,IF($G37="Blocked",2,IF($G37="Conditional",4,1))),"")</f>
        <v/>
      </c>
      <c r="AB37">
        <f>IF(AND($D37&lt;&gt;"",$E37&lt;&gt;"",AB$5&gt;=$D37,AB$5&lt;=$E37),IF($F37&gt;=1,3,IF($G37="Blocked",2,IF($G37="Conditional",4,1))),"")</f>
        <v/>
      </c>
    </row>
    <row r="38" ht="21.75" customHeight="1">
      <c r="A38" s="12" t="inlineStr">
        <is>
          <t>WS5.3</t>
        </is>
      </c>
      <c r="B38" s="2" t="inlineStr">
        <is>
          <t>Data migration (existing customer &amp; product masters)</t>
        </is>
      </c>
      <c r="C38" s="13" t="inlineStr">
        <is>
          <t>Raunak</t>
        </is>
      </c>
      <c r="D38" s="13" t="n">
        <v>14</v>
      </c>
      <c r="E38" s="13" t="n">
        <v>15</v>
      </c>
      <c r="F38" s="14" t="n">
        <v>0</v>
      </c>
      <c r="G38" s="13" t="inlineStr">
        <is>
          <t>Not started</t>
        </is>
      </c>
      <c r="H38">
        <f>IF(AND($D38&lt;&gt;"",$E38&lt;&gt;"",H$5&gt;=$D38,H$5&lt;=$E38),IF($F38&gt;=1,3,IF($G38="Blocked",2,IF($G38="Conditional",4,1))),"")</f>
        <v/>
      </c>
      <c r="I38" s="15">
        <f>IF(AND($D38&lt;&gt;"",$E38&lt;&gt;"",I$5&gt;=$D38,I$5&lt;=$E38),IF($F38&gt;=1,3,IF($G38="Blocked",2,IF($G38="Conditional",4,1))),"")</f>
        <v/>
      </c>
      <c r="J38">
        <f>IF(AND($D38&lt;&gt;"",$E38&lt;&gt;"",J$5&gt;=$D38,J$5&lt;=$E38),IF($F38&gt;=1,3,IF($G38="Blocked",2,IF($G38="Conditional",4,1))),"")</f>
        <v/>
      </c>
      <c r="K38">
        <f>IF(AND($D38&lt;&gt;"",$E38&lt;&gt;"",K$5&gt;=$D38,K$5&lt;=$E38),IF($F38&gt;=1,3,IF($G38="Blocked",2,IF($G38="Conditional",4,1))),"")</f>
        <v/>
      </c>
      <c r="L38">
        <f>IF(AND($D38&lt;&gt;"",$E38&lt;&gt;"",L$5&gt;=$D38,L$5&lt;=$E38),IF($F38&gt;=1,3,IF($G38="Blocked",2,IF($G38="Conditional",4,1))),"")</f>
        <v/>
      </c>
      <c r="M38">
        <f>IF(AND($D38&lt;&gt;"",$E38&lt;&gt;"",M$5&gt;=$D38,M$5&lt;=$E38),IF($F38&gt;=1,3,IF($G38="Blocked",2,IF($G38="Conditional",4,1))),"")</f>
        <v/>
      </c>
      <c r="N38">
        <f>IF(AND($D38&lt;&gt;"",$E38&lt;&gt;"",N$5&gt;=$D38,N$5&lt;=$E38),IF($F38&gt;=1,3,IF($G38="Blocked",2,IF($G38="Conditional",4,1))),"")</f>
        <v/>
      </c>
      <c r="O38">
        <f>IF(AND($D38&lt;&gt;"",$E38&lt;&gt;"",O$5&gt;=$D38,O$5&lt;=$E38),IF($F38&gt;=1,3,IF($G38="Blocked",2,IF($G38="Conditional",4,1))),"")</f>
        <v/>
      </c>
      <c r="P38">
        <f>IF(AND($D38&lt;&gt;"",$E38&lt;&gt;"",P$5&gt;=$D38,P$5&lt;=$E38),IF($F38&gt;=1,3,IF($G38="Blocked",2,IF($G38="Conditional",4,1))),"")</f>
        <v/>
      </c>
      <c r="Q38">
        <f>IF(AND($D38&lt;&gt;"",$E38&lt;&gt;"",Q$5&gt;=$D38,Q$5&lt;=$E38),IF($F38&gt;=1,3,IF($G38="Blocked",2,IF($G38="Conditional",4,1))),"")</f>
        <v/>
      </c>
      <c r="R38">
        <f>IF(AND($D38&lt;&gt;"",$E38&lt;&gt;"",R$5&gt;=$D38,R$5&lt;=$E38),IF($F38&gt;=1,3,IF($G38="Blocked",2,IF($G38="Conditional",4,1))),"")</f>
        <v/>
      </c>
      <c r="S38">
        <f>IF(AND($D38&lt;&gt;"",$E38&lt;&gt;"",S$5&gt;=$D38,S$5&lt;=$E38),IF($F38&gt;=1,3,IF($G38="Blocked",2,IF($G38="Conditional",4,1))),"")</f>
        <v/>
      </c>
      <c r="T38">
        <f>IF(AND($D38&lt;&gt;"",$E38&lt;&gt;"",T$5&gt;=$D38,T$5&lt;=$E38),IF($F38&gt;=1,3,IF($G38="Blocked",2,IF($G38="Conditional",4,1))),"")</f>
        <v/>
      </c>
      <c r="U38">
        <f>IF(AND($D38&lt;&gt;"",$E38&lt;&gt;"",U$5&gt;=$D38,U$5&lt;=$E38),IF($F38&gt;=1,3,IF($G38="Blocked",2,IF($G38="Conditional",4,1))),"")</f>
        <v/>
      </c>
      <c r="V38">
        <f>IF(AND($D38&lt;&gt;"",$E38&lt;&gt;"",V$5&gt;=$D38,V$5&lt;=$E38),IF($F38&gt;=1,3,IF($G38="Blocked",2,IF($G38="Conditional",4,1))),"")</f>
        <v/>
      </c>
      <c r="W38">
        <f>IF(AND($D38&lt;&gt;"",$E38&lt;&gt;"",W$5&gt;=$D38,W$5&lt;=$E38),IF($F38&gt;=1,3,IF($G38="Blocked",2,IF($G38="Conditional",4,1))),"")</f>
        <v/>
      </c>
      <c r="X38">
        <f>IF(AND($D38&lt;&gt;"",$E38&lt;&gt;"",X$5&gt;=$D38,X$5&lt;=$E38),IF($F38&gt;=1,3,IF($G38="Blocked",2,IF($G38="Conditional",4,1))),"")</f>
        <v/>
      </c>
      <c r="Y38">
        <f>IF(AND($D38&lt;&gt;"",$E38&lt;&gt;"",Y$5&gt;=$D38,Y$5&lt;=$E38),IF($F38&gt;=1,3,IF($G38="Blocked",2,IF($G38="Conditional",4,1))),"")</f>
        <v/>
      </c>
      <c r="Z38">
        <f>IF(AND($D38&lt;&gt;"",$E38&lt;&gt;"",Z$5&gt;=$D38,Z$5&lt;=$E38),IF($F38&gt;=1,3,IF($G38="Blocked",2,IF($G38="Conditional",4,1))),"")</f>
        <v/>
      </c>
      <c r="AA38">
        <f>IF(AND($D38&lt;&gt;"",$E38&lt;&gt;"",AA$5&gt;=$D38,AA$5&lt;=$E38),IF($F38&gt;=1,3,IF($G38="Blocked",2,IF($G38="Conditional",4,1))),"")</f>
        <v/>
      </c>
      <c r="AB38">
        <f>IF(AND($D38&lt;&gt;"",$E38&lt;&gt;"",AB$5&gt;=$D38,AB$5&lt;=$E38),IF($F38&gt;=1,3,IF($G38="Blocked",2,IF($G38="Conditional",4,1))),"")</f>
        <v/>
      </c>
    </row>
    <row r="39" ht="21.75" customHeight="1">
      <c r="A39" s="12" t="inlineStr">
        <is>
          <t>WS5.4</t>
        </is>
      </c>
      <c r="B39" s="2" t="inlineStr">
        <is>
          <t>User acceptance testing (UAT) with SVV Balaji - B2B</t>
        </is>
      </c>
      <c r="C39" s="13" t="inlineStr">
        <is>
          <t>Joint</t>
        </is>
      </c>
      <c r="D39" s="13" t="n">
        <v>15</v>
      </c>
      <c r="E39" s="13" t="n">
        <v>17</v>
      </c>
      <c r="F39" s="14" t="n">
        <v>0</v>
      </c>
      <c r="G39" s="13" t="inlineStr">
        <is>
          <t>Not started</t>
        </is>
      </c>
      <c r="H39">
        <f>IF(AND($D39&lt;&gt;"",$E39&lt;&gt;"",H$5&gt;=$D39,H$5&lt;=$E39),IF($F39&gt;=1,3,IF($G39="Blocked",2,IF($G39="Conditional",4,1))),"")</f>
        <v/>
      </c>
      <c r="I39" s="15">
        <f>IF(AND($D39&lt;&gt;"",$E39&lt;&gt;"",I$5&gt;=$D39,I$5&lt;=$E39),IF($F39&gt;=1,3,IF($G39="Blocked",2,IF($G39="Conditional",4,1))),"")</f>
        <v/>
      </c>
      <c r="J39">
        <f>IF(AND($D39&lt;&gt;"",$E39&lt;&gt;"",J$5&gt;=$D39,J$5&lt;=$E39),IF($F39&gt;=1,3,IF($G39="Blocked",2,IF($G39="Conditional",4,1))),"")</f>
        <v/>
      </c>
      <c r="K39">
        <f>IF(AND($D39&lt;&gt;"",$E39&lt;&gt;"",K$5&gt;=$D39,K$5&lt;=$E39),IF($F39&gt;=1,3,IF($G39="Blocked",2,IF($G39="Conditional",4,1))),"")</f>
        <v/>
      </c>
      <c r="L39">
        <f>IF(AND($D39&lt;&gt;"",$E39&lt;&gt;"",L$5&gt;=$D39,L$5&lt;=$E39),IF($F39&gt;=1,3,IF($G39="Blocked",2,IF($G39="Conditional",4,1))),"")</f>
        <v/>
      </c>
      <c r="M39">
        <f>IF(AND($D39&lt;&gt;"",$E39&lt;&gt;"",M$5&gt;=$D39,M$5&lt;=$E39),IF($F39&gt;=1,3,IF($G39="Blocked",2,IF($G39="Conditional",4,1))),"")</f>
        <v/>
      </c>
      <c r="N39">
        <f>IF(AND($D39&lt;&gt;"",$E39&lt;&gt;"",N$5&gt;=$D39,N$5&lt;=$E39),IF($F39&gt;=1,3,IF($G39="Blocked",2,IF($G39="Conditional",4,1))),"")</f>
        <v/>
      </c>
      <c r="O39">
        <f>IF(AND($D39&lt;&gt;"",$E39&lt;&gt;"",O$5&gt;=$D39,O$5&lt;=$E39),IF($F39&gt;=1,3,IF($G39="Blocked",2,IF($G39="Conditional",4,1))),"")</f>
        <v/>
      </c>
      <c r="P39">
        <f>IF(AND($D39&lt;&gt;"",$E39&lt;&gt;"",P$5&gt;=$D39,P$5&lt;=$E39),IF($F39&gt;=1,3,IF($G39="Blocked",2,IF($G39="Conditional",4,1))),"")</f>
        <v/>
      </c>
      <c r="Q39">
        <f>IF(AND($D39&lt;&gt;"",$E39&lt;&gt;"",Q$5&gt;=$D39,Q$5&lt;=$E39),IF($F39&gt;=1,3,IF($G39="Blocked",2,IF($G39="Conditional",4,1))),"")</f>
        <v/>
      </c>
      <c r="R39">
        <f>IF(AND($D39&lt;&gt;"",$E39&lt;&gt;"",R$5&gt;=$D39,R$5&lt;=$E39),IF($F39&gt;=1,3,IF($G39="Blocked",2,IF($G39="Conditional",4,1))),"")</f>
        <v/>
      </c>
      <c r="S39">
        <f>IF(AND($D39&lt;&gt;"",$E39&lt;&gt;"",S$5&gt;=$D39,S$5&lt;=$E39),IF($F39&gt;=1,3,IF($G39="Blocked",2,IF($G39="Conditional",4,1))),"")</f>
        <v/>
      </c>
      <c r="T39">
        <f>IF(AND($D39&lt;&gt;"",$E39&lt;&gt;"",T$5&gt;=$D39,T$5&lt;=$E39),IF($F39&gt;=1,3,IF($G39="Blocked",2,IF($G39="Conditional",4,1))),"")</f>
        <v/>
      </c>
      <c r="U39">
        <f>IF(AND($D39&lt;&gt;"",$E39&lt;&gt;"",U$5&gt;=$D39,U$5&lt;=$E39),IF($F39&gt;=1,3,IF($G39="Blocked",2,IF($G39="Conditional",4,1))),"")</f>
        <v/>
      </c>
      <c r="V39">
        <f>IF(AND($D39&lt;&gt;"",$E39&lt;&gt;"",V$5&gt;=$D39,V$5&lt;=$E39),IF($F39&gt;=1,3,IF($G39="Blocked",2,IF($G39="Conditional",4,1))),"")</f>
        <v/>
      </c>
      <c r="W39">
        <f>IF(AND($D39&lt;&gt;"",$E39&lt;&gt;"",W$5&gt;=$D39,W$5&lt;=$E39),IF($F39&gt;=1,3,IF($G39="Blocked",2,IF($G39="Conditional",4,1))),"")</f>
        <v/>
      </c>
      <c r="X39">
        <f>IF(AND($D39&lt;&gt;"",$E39&lt;&gt;"",X$5&gt;=$D39,X$5&lt;=$E39),IF($F39&gt;=1,3,IF($G39="Blocked",2,IF($G39="Conditional",4,1))),"")</f>
        <v/>
      </c>
      <c r="Y39">
        <f>IF(AND($D39&lt;&gt;"",$E39&lt;&gt;"",Y$5&gt;=$D39,Y$5&lt;=$E39),IF($F39&gt;=1,3,IF($G39="Blocked",2,IF($G39="Conditional",4,1))),"")</f>
        <v/>
      </c>
      <c r="Z39">
        <f>IF(AND($D39&lt;&gt;"",$E39&lt;&gt;"",Z$5&gt;=$D39,Z$5&lt;=$E39),IF($F39&gt;=1,3,IF($G39="Blocked",2,IF($G39="Conditional",4,1))),"")</f>
        <v/>
      </c>
      <c r="AA39">
        <f>IF(AND($D39&lt;&gt;"",$E39&lt;&gt;"",AA$5&gt;=$D39,AA$5&lt;=$E39),IF($F39&gt;=1,3,IF($G39="Blocked",2,IF($G39="Conditional",4,1))),"")</f>
        <v/>
      </c>
      <c r="AB39">
        <f>IF(AND($D39&lt;&gt;"",$E39&lt;&gt;"",AB$5&gt;=$D39,AB$5&lt;=$E39),IF($F39&gt;=1,3,IF($G39="Blocked",2,IF($G39="Conditional",4,1))),"")</f>
        <v/>
      </c>
    </row>
    <row r="40" ht="21.75" customHeight="1">
      <c r="A40" s="12" t="inlineStr">
        <is>
          <t>WS5.5</t>
        </is>
      </c>
      <c r="B40" s="2" t="inlineStr">
        <is>
          <t>Backups, monitoring &amp; disaster recovery</t>
        </is>
      </c>
      <c r="C40" s="13" t="inlineStr">
        <is>
          <t>Ujjawal</t>
        </is>
      </c>
      <c r="D40" s="13" t="n">
        <v>15</v>
      </c>
      <c r="E40" s="13" t="n">
        <v>16</v>
      </c>
      <c r="F40" s="14" t="n">
        <v>0</v>
      </c>
      <c r="G40" s="13" t="inlineStr">
        <is>
          <t>Not started</t>
        </is>
      </c>
      <c r="H40">
        <f>IF(AND($D40&lt;&gt;"",$E40&lt;&gt;"",H$5&gt;=$D40,H$5&lt;=$E40),IF($F40&gt;=1,3,IF($G40="Blocked",2,IF($G40="Conditional",4,1))),"")</f>
        <v/>
      </c>
      <c r="I40" s="15">
        <f>IF(AND($D40&lt;&gt;"",$E40&lt;&gt;"",I$5&gt;=$D40,I$5&lt;=$E40),IF($F40&gt;=1,3,IF($G40="Blocked",2,IF($G40="Conditional",4,1))),"")</f>
        <v/>
      </c>
      <c r="J40">
        <f>IF(AND($D40&lt;&gt;"",$E40&lt;&gt;"",J$5&gt;=$D40,J$5&lt;=$E40),IF($F40&gt;=1,3,IF($G40="Blocked",2,IF($G40="Conditional",4,1))),"")</f>
        <v/>
      </c>
      <c r="K40">
        <f>IF(AND($D40&lt;&gt;"",$E40&lt;&gt;"",K$5&gt;=$D40,K$5&lt;=$E40),IF($F40&gt;=1,3,IF($G40="Blocked",2,IF($G40="Conditional",4,1))),"")</f>
        <v/>
      </c>
      <c r="L40">
        <f>IF(AND($D40&lt;&gt;"",$E40&lt;&gt;"",L$5&gt;=$D40,L$5&lt;=$E40),IF($F40&gt;=1,3,IF($G40="Blocked",2,IF($G40="Conditional",4,1))),"")</f>
        <v/>
      </c>
      <c r="M40">
        <f>IF(AND($D40&lt;&gt;"",$E40&lt;&gt;"",M$5&gt;=$D40,M$5&lt;=$E40),IF($F40&gt;=1,3,IF($G40="Blocked",2,IF($G40="Conditional",4,1))),"")</f>
        <v/>
      </c>
      <c r="N40">
        <f>IF(AND($D40&lt;&gt;"",$E40&lt;&gt;"",N$5&gt;=$D40,N$5&lt;=$E40),IF($F40&gt;=1,3,IF($G40="Blocked",2,IF($G40="Conditional",4,1))),"")</f>
        <v/>
      </c>
      <c r="O40">
        <f>IF(AND($D40&lt;&gt;"",$E40&lt;&gt;"",O$5&gt;=$D40,O$5&lt;=$E40),IF($F40&gt;=1,3,IF($G40="Blocked",2,IF($G40="Conditional",4,1))),"")</f>
        <v/>
      </c>
      <c r="P40">
        <f>IF(AND($D40&lt;&gt;"",$E40&lt;&gt;"",P$5&gt;=$D40,P$5&lt;=$E40),IF($F40&gt;=1,3,IF($G40="Blocked",2,IF($G40="Conditional",4,1))),"")</f>
        <v/>
      </c>
      <c r="Q40">
        <f>IF(AND($D40&lt;&gt;"",$E40&lt;&gt;"",Q$5&gt;=$D40,Q$5&lt;=$E40),IF($F40&gt;=1,3,IF($G40="Blocked",2,IF($G40="Conditional",4,1))),"")</f>
        <v/>
      </c>
      <c r="R40">
        <f>IF(AND($D40&lt;&gt;"",$E40&lt;&gt;"",R$5&gt;=$D40,R$5&lt;=$E40),IF($F40&gt;=1,3,IF($G40="Blocked",2,IF($G40="Conditional",4,1))),"")</f>
        <v/>
      </c>
      <c r="S40">
        <f>IF(AND($D40&lt;&gt;"",$E40&lt;&gt;"",S$5&gt;=$D40,S$5&lt;=$E40),IF($F40&gt;=1,3,IF($G40="Blocked",2,IF($G40="Conditional",4,1))),"")</f>
        <v/>
      </c>
      <c r="T40">
        <f>IF(AND($D40&lt;&gt;"",$E40&lt;&gt;"",T$5&gt;=$D40,T$5&lt;=$E40),IF($F40&gt;=1,3,IF($G40="Blocked",2,IF($G40="Conditional",4,1))),"")</f>
        <v/>
      </c>
      <c r="U40">
        <f>IF(AND($D40&lt;&gt;"",$E40&lt;&gt;"",U$5&gt;=$D40,U$5&lt;=$E40),IF($F40&gt;=1,3,IF($G40="Blocked",2,IF($G40="Conditional",4,1))),"")</f>
        <v/>
      </c>
      <c r="V40">
        <f>IF(AND($D40&lt;&gt;"",$E40&lt;&gt;"",V$5&gt;=$D40,V$5&lt;=$E40),IF($F40&gt;=1,3,IF($G40="Blocked",2,IF($G40="Conditional",4,1))),"")</f>
        <v/>
      </c>
      <c r="W40">
        <f>IF(AND($D40&lt;&gt;"",$E40&lt;&gt;"",W$5&gt;=$D40,W$5&lt;=$E40),IF($F40&gt;=1,3,IF($G40="Blocked",2,IF($G40="Conditional",4,1))),"")</f>
        <v/>
      </c>
      <c r="X40">
        <f>IF(AND($D40&lt;&gt;"",$E40&lt;&gt;"",X$5&gt;=$D40,X$5&lt;=$E40),IF($F40&gt;=1,3,IF($G40="Blocked",2,IF($G40="Conditional",4,1))),"")</f>
        <v/>
      </c>
      <c r="Y40">
        <f>IF(AND($D40&lt;&gt;"",$E40&lt;&gt;"",Y$5&gt;=$D40,Y$5&lt;=$E40),IF($F40&gt;=1,3,IF($G40="Blocked",2,IF($G40="Conditional",4,1))),"")</f>
        <v/>
      </c>
      <c r="Z40">
        <f>IF(AND($D40&lt;&gt;"",$E40&lt;&gt;"",Z$5&gt;=$D40,Z$5&lt;=$E40),IF($F40&gt;=1,3,IF($G40="Blocked",2,IF($G40="Conditional",4,1))),"")</f>
        <v/>
      </c>
      <c r="AA40">
        <f>IF(AND($D40&lt;&gt;"",$E40&lt;&gt;"",AA$5&gt;=$D40,AA$5&lt;=$E40),IF($F40&gt;=1,3,IF($G40="Blocked",2,IF($G40="Conditional",4,1))),"")</f>
        <v/>
      </c>
      <c r="AB40">
        <f>IF(AND($D40&lt;&gt;"",$E40&lt;&gt;"",AB$5&gt;=$D40,AB$5&lt;=$E40),IF($F40&gt;=1,3,IF($G40="Blocked",2,IF($G40="Conditional",4,1))),"")</f>
        <v/>
      </c>
    </row>
    <row r="41" ht="21.75" customHeight="1">
      <c r="A41" s="12" t="inlineStr">
        <is>
          <t>WS5.6</t>
        </is>
      </c>
      <c r="B41" s="2" t="inlineStr">
        <is>
          <t>Training &amp; handover</t>
        </is>
      </c>
      <c r="C41" s="13" t="inlineStr">
        <is>
          <t>Joint</t>
        </is>
      </c>
      <c r="D41" s="13" t="n">
        <v>17</v>
      </c>
      <c r="E41" s="13" t="n">
        <v>18</v>
      </c>
      <c r="F41" s="14" t="n">
        <v>0</v>
      </c>
      <c r="G41" s="13" t="inlineStr">
        <is>
          <t>Not started</t>
        </is>
      </c>
      <c r="H41">
        <f>IF(AND($D41&lt;&gt;"",$E41&lt;&gt;"",H$5&gt;=$D41,H$5&lt;=$E41),IF($F41&gt;=1,3,IF($G41="Blocked",2,IF($G41="Conditional",4,1))),"")</f>
        <v/>
      </c>
      <c r="I41" s="15">
        <f>IF(AND($D41&lt;&gt;"",$E41&lt;&gt;"",I$5&gt;=$D41,I$5&lt;=$E41),IF($F41&gt;=1,3,IF($G41="Blocked",2,IF($G41="Conditional",4,1))),"")</f>
        <v/>
      </c>
      <c r="J41">
        <f>IF(AND($D41&lt;&gt;"",$E41&lt;&gt;"",J$5&gt;=$D41,J$5&lt;=$E41),IF($F41&gt;=1,3,IF($G41="Blocked",2,IF($G41="Conditional",4,1))),"")</f>
        <v/>
      </c>
      <c r="K41">
        <f>IF(AND($D41&lt;&gt;"",$E41&lt;&gt;"",K$5&gt;=$D41,K$5&lt;=$E41),IF($F41&gt;=1,3,IF($G41="Blocked",2,IF($G41="Conditional",4,1))),"")</f>
        <v/>
      </c>
      <c r="L41">
        <f>IF(AND($D41&lt;&gt;"",$E41&lt;&gt;"",L$5&gt;=$D41,L$5&lt;=$E41),IF($F41&gt;=1,3,IF($G41="Blocked",2,IF($G41="Conditional",4,1))),"")</f>
        <v/>
      </c>
      <c r="M41">
        <f>IF(AND($D41&lt;&gt;"",$E41&lt;&gt;"",M$5&gt;=$D41,M$5&lt;=$E41),IF($F41&gt;=1,3,IF($G41="Blocked",2,IF($G41="Conditional",4,1))),"")</f>
        <v/>
      </c>
      <c r="N41">
        <f>IF(AND($D41&lt;&gt;"",$E41&lt;&gt;"",N$5&gt;=$D41,N$5&lt;=$E41),IF($F41&gt;=1,3,IF($G41="Blocked",2,IF($G41="Conditional",4,1))),"")</f>
        <v/>
      </c>
      <c r="O41">
        <f>IF(AND($D41&lt;&gt;"",$E41&lt;&gt;"",O$5&gt;=$D41,O$5&lt;=$E41),IF($F41&gt;=1,3,IF($G41="Blocked",2,IF($G41="Conditional",4,1))),"")</f>
        <v/>
      </c>
      <c r="P41">
        <f>IF(AND($D41&lt;&gt;"",$E41&lt;&gt;"",P$5&gt;=$D41,P$5&lt;=$E41),IF($F41&gt;=1,3,IF($G41="Blocked",2,IF($G41="Conditional",4,1))),"")</f>
        <v/>
      </c>
      <c r="Q41">
        <f>IF(AND($D41&lt;&gt;"",$E41&lt;&gt;"",Q$5&gt;=$D41,Q$5&lt;=$E41),IF($F41&gt;=1,3,IF($G41="Blocked",2,IF($G41="Conditional",4,1))),"")</f>
        <v/>
      </c>
      <c r="R41">
        <f>IF(AND($D41&lt;&gt;"",$E41&lt;&gt;"",R$5&gt;=$D41,R$5&lt;=$E41),IF($F41&gt;=1,3,IF($G41="Blocked",2,IF($G41="Conditional",4,1))),"")</f>
        <v/>
      </c>
      <c r="S41">
        <f>IF(AND($D41&lt;&gt;"",$E41&lt;&gt;"",S$5&gt;=$D41,S$5&lt;=$E41),IF($F41&gt;=1,3,IF($G41="Blocked",2,IF($G41="Conditional",4,1))),"")</f>
        <v/>
      </c>
      <c r="T41">
        <f>IF(AND($D41&lt;&gt;"",$E41&lt;&gt;"",T$5&gt;=$D41,T$5&lt;=$E41),IF($F41&gt;=1,3,IF($G41="Blocked",2,IF($G41="Conditional",4,1))),"")</f>
        <v/>
      </c>
      <c r="U41">
        <f>IF(AND($D41&lt;&gt;"",$E41&lt;&gt;"",U$5&gt;=$D41,U$5&lt;=$E41),IF($F41&gt;=1,3,IF($G41="Blocked",2,IF($G41="Conditional",4,1))),"")</f>
        <v/>
      </c>
      <c r="V41">
        <f>IF(AND($D41&lt;&gt;"",$E41&lt;&gt;"",V$5&gt;=$D41,V$5&lt;=$E41),IF($F41&gt;=1,3,IF($G41="Blocked",2,IF($G41="Conditional",4,1))),"")</f>
        <v/>
      </c>
      <c r="W41">
        <f>IF(AND($D41&lt;&gt;"",$E41&lt;&gt;"",W$5&gt;=$D41,W$5&lt;=$E41),IF($F41&gt;=1,3,IF($G41="Blocked",2,IF($G41="Conditional",4,1))),"")</f>
        <v/>
      </c>
      <c r="X41">
        <f>IF(AND($D41&lt;&gt;"",$E41&lt;&gt;"",X$5&gt;=$D41,X$5&lt;=$E41),IF($F41&gt;=1,3,IF($G41="Blocked",2,IF($G41="Conditional",4,1))),"")</f>
        <v/>
      </c>
      <c r="Y41">
        <f>IF(AND($D41&lt;&gt;"",$E41&lt;&gt;"",Y$5&gt;=$D41,Y$5&lt;=$E41),IF($F41&gt;=1,3,IF($G41="Blocked",2,IF($G41="Conditional",4,1))),"")</f>
        <v/>
      </c>
      <c r="Z41">
        <f>IF(AND($D41&lt;&gt;"",$E41&lt;&gt;"",Z$5&gt;=$D41,Z$5&lt;=$E41),IF($F41&gt;=1,3,IF($G41="Blocked",2,IF($G41="Conditional",4,1))),"")</f>
        <v/>
      </c>
      <c r="AA41">
        <f>IF(AND($D41&lt;&gt;"",$E41&lt;&gt;"",AA$5&gt;=$D41,AA$5&lt;=$E41),IF($F41&gt;=1,3,IF($G41="Blocked",2,IF($G41="Conditional",4,1))),"")</f>
        <v/>
      </c>
      <c r="AB41">
        <f>IF(AND($D41&lt;&gt;"",$E41&lt;&gt;"",AB$5&gt;=$D41,AB$5&lt;=$E41),IF($F41&gt;=1,3,IF($G41="Blocked",2,IF($G41="Conditional",4,1))),"")</f>
        <v/>
      </c>
    </row>
    <row r="42" ht="21.75" customHeight="1">
      <c r="A42" s="12" t="inlineStr">
        <is>
          <t>WS5.7</t>
        </is>
      </c>
      <c r="B42" s="2" t="inlineStr">
        <is>
          <t>Go-live &amp; hypercare - B2B launch</t>
        </is>
      </c>
      <c r="C42" s="13" t="inlineStr">
        <is>
          <t>Joint</t>
        </is>
      </c>
      <c r="D42" s="13" t="n">
        <v>18</v>
      </c>
      <c r="E42" s="13" t="n">
        <v>18</v>
      </c>
      <c r="F42" s="14" t="n">
        <v>0</v>
      </c>
      <c r="G42" s="13" t="inlineStr">
        <is>
          <t>Not started</t>
        </is>
      </c>
      <c r="H42">
        <f>IF(AND($D42&lt;&gt;"",$E42&lt;&gt;"",H$5&gt;=$D42,H$5&lt;=$E42),IF($F42&gt;=1,3,IF($G42="Blocked",2,IF($G42="Conditional",4,1))),"")</f>
        <v/>
      </c>
      <c r="I42" s="15">
        <f>IF(AND($D42&lt;&gt;"",$E42&lt;&gt;"",I$5&gt;=$D42,I$5&lt;=$E42),IF($F42&gt;=1,3,IF($G42="Blocked",2,IF($G42="Conditional",4,1))),"")</f>
        <v/>
      </c>
      <c r="J42">
        <f>IF(AND($D42&lt;&gt;"",$E42&lt;&gt;"",J$5&gt;=$D42,J$5&lt;=$E42),IF($F42&gt;=1,3,IF($G42="Blocked",2,IF($G42="Conditional",4,1))),"")</f>
        <v/>
      </c>
      <c r="K42">
        <f>IF(AND($D42&lt;&gt;"",$E42&lt;&gt;"",K$5&gt;=$D42,K$5&lt;=$E42),IF($F42&gt;=1,3,IF($G42="Blocked",2,IF($G42="Conditional",4,1))),"")</f>
        <v/>
      </c>
      <c r="L42">
        <f>IF(AND($D42&lt;&gt;"",$E42&lt;&gt;"",L$5&gt;=$D42,L$5&lt;=$E42),IF($F42&gt;=1,3,IF($G42="Blocked",2,IF($G42="Conditional",4,1))),"")</f>
        <v/>
      </c>
      <c r="M42">
        <f>IF(AND($D42&lt;&gt;"",$E42&lt;&gt;"",M$5&gt;=$D42,M$5&lt;=$E42),IF($F42&gt;=1,3,IF($G42="Blocked",2,IF($G42="Conditional",4,1))),"")</f>
        <v/>
      </c>
      <c r="N42">
        <f>IF(AND($D42&lt;&gt;"",$E42&lt;&gt;"",N$5&gt;=$D42,N$5&lt;=$E42),IF($F42&gt;=1,3,IF($G42="Blocked",2,IF($G42="Conditional",4,1))),"")</f>
        <v/>
      </c>
      <c r="O42">
        <f>IF(AND($D42&lt;&gt;"",$E42&lt;&gt;"",O$5&gt;=$D42,O$5&lt;=$E42),IF($F42&gt;=1,3,IF($G42="Blocked",2,IF($G42="Conditional",4,1))),"")</f>
        <v/>
      </c>
      <c r="P42">
        <f>IF(AND($D42&lt;&gt;"",$E42&lt;&gt;"",P$5&gt;=$D42,P$5&lt;=$E42),IF($F42&gt;=1,3,IF($G42="Blocked",2,IF($G42="Conditional",4,1))),"")</f>
        <v/>
      </c>
      <c r="Q42">
        <f>IF(AND($D42&lt;&gt;"",$E42&lt;&gt;"",Q$5&gt;=$D42,Q$5&lt;=$E42),IF($F42&gt;=1,3,IF($G42="Blocked",2,IF($G42="Conditional",4,1))),"")</f>
        <v/>
      </c>
      <c r="R42">
        <f>IF(AND($D42&lt;&gt;"",$E42&lt;&gt;"",R$5&gt;=$D42,R$5&lt;=$E42),IF($F42&gt;=1,3,IF($G42="Blocked",2,IF($G42="Conditional",4,1))),"")</f>
        <v/>
      </c>
      <c r="S42">
        <f>IF(AND($D42&lt;&gt;"",$E42&lt;&gt;"",S$5&gt;=$D42,S$5&lt;=$E42),IF($F42&gt;=1,3,IF($G42="Blocked",2,IF($G42="Conditional",4,1))),"")</f>
        <v/>
      </c>
      <c r="T42">
        <f>IF(AND($D42&lt;&gt;"",$E42&lt;&gt;"",T$5&gt;=$D42,T$5&lt;=$E42),IF($F42&gt;=1,3,IF($G42="Blocked",2,IF($G42="Conditional",4,1))),"")</f>
        <v/>
      </c>
      <c r="U42">
        <f>IF(AND($D42&lt;&gt;"",$E42&lt;&gt;"",U$5&gt;=$D42,U$5&lt;=$E42),IF($F42&gt;=1,3,IF($G42="Blocked",2,IF($G42="Conditional",4,1))),"")</f>
        <v/>
      </c>
      <c r="V42">
        <f>IF(AND($D42&lt;&gt;"",$E42&lt;&gt;"",V$5&gt;=$D42,V$5&lt;=$E42),IF($F42&gt;=1,3,IF($G42="Blocked",2,IF($G42="Conditional",4,1))),"")</f>
        <v/>
      </c>
      <c r="W42">
        <f>IF(AND($D42&lt;&gt;"",$E42&lt;&gt;"",W$5&gt;=$D42,W$5&lt;=$E42),IF($F42&gt;=1,3,IF($G42="Blocked",2,IF($G42="Conditional",4,1))),"")</f>
        <v/>
      </c>
      <c r="X42">
        <f>IF(AND($D42&lt;&gt;"",$E42&lt;&gt;"",X$5&gt;=$D42,X$5&lt;=$E42),IF($F42&gt;=1,3,IF($G42="Blocked",2,IF($G42="Conditional",4,1))),"")</f>
        <v/>
      </c>
      <c r="Y42">
        <f>IF(AND($D42&lt;&gt;"",$E42&lt;&gt;"",Y$5&gt;=$D42,Y$5&lt;=$E42),IF($F42&gt;=1,3,IF($G42="Blocked",2,IF($G42="Conditional",4,1))),"")</f>
        <v/>
      </c>
      <c r="Z42">
        <f>IF(AND($D42&lt;&gt;"",$E42&lt;&gt;"",Z$5&gt;=$D42,Z$5&lt;=$E42),IF($F42&gt;=1,3,IF($G42="Blocked",2,IF($G42="Conditional",4,1))),"")</f>
        <v/>
      </c>
      <c r="AA42">
        <f>IF(AND($D42&lt;&gt;"",$E42&lt;&gt;"",AA$5&gt;=$D42,AA$5&lt;=$E42),IF($F42&gt;=1,3,IF($G42="Blocked",2,IF($G42="Conditional",4,1))),"")</f>
        <v/>
      </c>
      <c r="AB42">
        <f>IF(AND($D42&lt;&gt;"",$E42&lt;&gt;"",AB$5&gt;=$D42,AB$5&lt;=$E42),IF($F42&gt;=1,3,IF($G42="Blocked",2,IF($G42="Conditional",4,1))),"")</f>
        <v/>
      </c>
    </row>
    <row r="43" ht="21.75" customHeight="1">
      <c r="A43" s="12" t="inlineStr">
        <is>
          <t>WS5.8</t>
        </is>
      </c>
      <c r="B43" s="2" t="inlineStr">
        <is>
          <t>B2C UAT &amp; consumer channel launch  [NEW - Decision 1]</t>
        </is>
      </c>
      <c r="C43" s="13" t="inlineStr">
        <is>
          <t>Joint</t>
        </is>
      </c>
      <c r="D43" s="13" t="n">
        <v>19</v>
      </c>
      <c r="E43" s="13" t="n">
        <v>21</v>
      </c>
      <c r="F43" s="14" t="n">
        <v>0</v>
      </c>
      <c r="G43" s="13" t="inlineStr">
        <is>
          <t>Conditional</t>
        </is>
      </c>
      <c r="H43">
        <f>IF(AND($D43&lt;&gt;"",$E43&lt;&gt;"",H$5&gt;=$D43,H$5&lt;=$E43),IF($F43&gt;=1,3,IF($G43="Blocked",2,IF($G43="Conditional",4,1))),"")</f>
        <v/>
      </c>
      <c r="I43" s="15">
        <f>IF(AND($D43&lt;&gt;"",$E43&lt;&gt;"",I$5&gt;=$D43,I$5&lt;=$E43),IF($F43&gt;=1,3,IF($G43="Blocked",2,IF($G43="Conditional",4,1))),"")</f>
        <v/>
      </c>
      <c r="J43">
        <f>IF(AND($D43&lt;&gt;"",$E43&lt;&gt;"",J$5&gt;=$D43,J$5&lt;=$E43),IF($F43&gt;=1,3,IF($G43="Blocked",2,IF($G43="Conditional",4,1))),"")</f>
        <v/>
      </c>
      <c r="K43">
        <f>IF(AND($D43&lt;&gt;"",$E43&lt;&gt;"",K$5&gt;=$D43,K$5&lt;=$E43),IF($F43&gt;=1,3,IF($G43="Blocked",2,IF($G43="Conditional",4,1))),"")</f>
        <v/>
      </c>
      <c r="L43">
        <f>IF(AND($D43&lt;&gt;"",$E43&lt;&gt;"",L$5&gt;=$D43,L$5&lt;=$E43),IF($F43&gt;=1,3,IF($G43="Blocked",2,IF($G43="Conditional",4,1))),"")</f>
        <v/>
      </c>
      <c r="M43">
        <f>IF(AND($D43&lt;&gt;"",$E43&lt;&gt;"",M$5&gt;=$D43,M$5&lt;=$E43),IF($F43&gt;=1,3,IF($G43="Blocked",2,IF($G43="Conditional",4,1))),"")</f>
        <v/>
      </c>
      <c r="N43">
        <f>IF(AND($D43&lt;&gt;"",$E43&lt;&gt;"",N$5&gt;=$D43,N$5&lt;=$E43),IF($F43&gt;=1,3,IF($G43="Blocked",2,IF($G43="Conditional",4,1))),"")</f>
        <v/>
      </c>
      <c r="O43">
        <f>IF(AND($D43&lt;&gt;"",$E43&lt;&gt;"",O$5&gt;=$D43,O$5&lt;=$E43),IF($F43&gt;=1,3,IF($G43="Blocked",2,IF($G43="Conditional",4,1))),"")</f>
        <v/>
      </c>
      <c r="P43">
        <f>IF(AND($D43&lt;&gt;"",$E43&lt;&gt;"",P$5&gt;=$D43,P$5&lt;=$E43),IF($F43&gt;=1,3,IF($G43="Blocked",2,IF($G43="Conditional",4,1))),"")</f>
        <v/>
      </c>
      <c r="Q43">
        <f>IF(AND($D43&lt;&gt;"",$E43&lt;&gt;"",Q$5&gt;=$D43,Q$5&lt;=$E43),IF($F43&gt;=1,3,IF($G43="Blocked",2,IF($G43="Conditional",4,1))),"")</f>
        <v/>
      </c>
      <c r="R43">
        <f>IF(AND($D43&lt;&gt;"",$E43&lt;&gt;"",R$5&gt;=$D43,R$5&lt;=$E43),IF($F43&gt;=1,3,IF($G43="Blocked",2,IF($G43="Conditional",4,1))),"")</f>
        <v/>
      </c>
      <c r="S43">
        <f>IF(AND($D43&lt;&gt;"",$E43&lt;&gt;"",S$5&gt;=$D43,S$5&lt;=$E43),IF($F43&gt;=1,3,IF($G43="Blocked",2,IF($G43="Conditional",4,1))),"")</f>
        <v/>
      </c>
      <c r="T43">
        <f>IF(AND($D43&lt;&gt;"",$E43&lt;&gt;"",T$5&gt;=$D43,T$5&lt;=$E43),IF($F43&gt;=1,3,IF($G43="Blocked",2,IF($G43="Conditional",4,1))),"")</f>
        <v/>
      </c>
      <c r="U43">
        <f>IF(AND($D43&lt;&gt;"",$E43&lt;&gt;"",U$5&gt;=$D43,U$5&lt;=$E43),IF($F43&gt;=1,3,IF($G43="Blocked",2,IF($G43="Conditional",4,1))),"")</f>
        <v/>
      </c>
      <c r="V43">
        <f>IF(AND($D43&lt;&gt;"",$E43&lt;&gt;"",V$5&gt;=$D43,V$5&lt;=$E43),IF($F43&gt;=1,3,IF($G43="Blocked",2,IF($G43="Conditional",4,1))),"")</f>
        <v/>
      </c>
      <c r="W43">
        <f>IF(AND($D43&lt;&gt;"",$E43&lt;&gt;"",W$5&gt;=$D43,W$5&lt;=$E43),IF($F43&gt;=1,3,IF($G43="Blocked",2,IF($G43="Conditional",4,1))),"")</f>
        <v/>
      </c>
      <c r="X43">
        <f>IF(AND($D43&lt;&gt;"",$E43&lt;&gt;"",X$5&gt;=$D43,X$5&lt;=$E43),IF($F43&gt;=1,3,IF($G43="Blocked",2,IF($G43="Conditional",4,1))),"")</f>
        <v/>
      </c>
      <c r="Y43">
        <f>IF(AND($D43&lt;&gt;"",$E43&lt;&gt;"",Y$5&gt;=$D43,Y$5&lt;=$E43),IF($F43&gt;=1,3,IF($G43="Blocked",2,IF($G43="Conditional",4,1))),"")</f>
        <v/>
      </c>
      <c r="Z43">
        <f>IF(AND($D43&lt;&gt;"",$E43&lt;&gt;"",Z$5&gt;=$D43,Z$5&lt;=$E43),IF($F43&gt;=1,3,IF($G43="Blocked",2,IF($G43="Conditional",4,1))),"")</f>
        <v/>
      </c>
      <c r="AA43">
        <f>IF(AND($D43&lt;&gt;"",$E43&lt;&gt;"",AA$5&gt;=$D43,AA$5&lt;=$E43),IF($F43&gt;=1,3,IF($G43="Blocked",2,IF($G43="Conditional",4,1))),"")</f>
        <v/>
      </c>
      <c r="AB43">
        <f>IF(AND($D43&lt;&gt;"",$E43&lt;&gt;"",AB$5&gt;=$D43,AB$5&lt;=$E43),IF($F43&gt;=1,3,IF($G43="Blocked",2,IF($G43="Conditional",4,1))),"")</f>
        <v/>
      </c>
    </row>
    <row r="45">
      <c r="A45" s="16" t="inlineStr">
        <is>
          <t>LEGEND</t>
        </is>
      </c>
    </row>
    <row r="46" ht="15" customHeight="1">
      <c r="A46" s="17" t="n"/>
      <c r="B46" s="18" t="inlineStr">
        <is>
          <t>Complete</t>
        </is>
      </c>
    </row>
    <row r="47" ht="15" customHeight="1">
      <c r="A47" s="19" t="n"/>
      <c r="B47" s="18" t="inlineStr">
        <is>
          <t>In progress / planned</t>
        </is>
      </c>
    </row>
    <row r="48" ht="15" customHeight="1">
      <c r="A48" s="20" t="n"/>
      <c r="B48" s="18" t="inlineStr">
        <is>
          <t>Blocked - awaiting client decision</t>
        </is>
      </c>
    </row>
    <row r="49" ht="15" customHeight="1">
      <c r="A49" s="21" t="n"/>
      <c r="B49" s="18" t="inlineStr">
        <is>
          <t>B2C scope - conditional on A-10 (cost &amp; timeline agreement)</t>
        </is>
      </c>
    </row>
    <row r="50">
      <c r="B50" s="18" t="inlineStr">
        <is>
          <t>Red vertical line = current reporting week (w/c 11-Aug-2026)</t>
        </is>
      </c>
    </row>
    <row r="51">
      <c r="B51" s="18" t="inlineStr">
        <is>
          <t>Bars are formula-driven: edit the Start / Finish week columns and the chart updates automatically.</t>
        </is>
      </c>
    </row>
  </sheetData>
  <mergeCells count="2">
    <mergeCell ref="A2:N2"/>
    <mergeCell ref="A1:H1"/>
  </mergeCells>
  <conditionalFormatting sqref="H6:AB43">
    <cfRule type="cellIs" priority="1" operator="equal" dxfId="0">
      <formula>3</formula>
    </cfRule>
    <cfRule type="cellIs" priority="2" operator="equal" dxfId="1">
      <formula>2</formula>
    </cfRule>
    <cfRule type="cellIs" priority="3" operator="equal" dxfId="2">
      <formula>4</formula>
    </cfRule>
    <cfRule type="cellIs" priority="4" operator="equal" dxfId="3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68" customWidth="1" min="2" max="2"/>
    <col width="12" customWidth="1" min="3" max="3"/>
    <col width="12" customWidth="1" min="4" max="4"/>
    <col width="14" customWidth="1" min="5" max="5"/>
    <col width="14" customWidth="1" min="6" max="6"/>
    <col width="10" customWidth="1" min="7" max="7"/>
    <col width="12" customWidth="1" min="8" max="8"/>
    <col width="14" customWidth="1" min="9" max="9"/>
  </cols>
  <sheetData>
    <row r="1">
      <c r="A1" s="1" t="inlineStr">
        <is>
          <t>SVV BALAJI - REVISED ACTIVITY-WISE SCHEDULE BASELINE</t>
        </is>
      </c>
    </row>
    <row r="2" ht="26" customHeight="1">
      <c r="A2" s="2" t="inlineStr">
        <is>
          <t>Revised 11-Aug-2026. Decision 1 (both B2B and B2C sales channels with separate pricing) adds four activities beyond the signed scope of work: WS1.6, WS1.7, WS3.5 and WS5.8, plus activation of WS4.5.</t>
        </is>
      </c>
    </row>
    <row r="3" ht="26" customHeight="1">
      <c r="A3" s="2" t="inlineStr">
        <is>
          <t>Weeks are numbered from Week 1 commencing 04-Aug-2026. B2C activities extend the programme to Week 21 and are conditional on written agreement of cost and timeline (action A-10). The B2B launch remains at Week 18.</t>
        </is>
      </c>
    </row>
    <row r="5" ht="30" customHeight="1">
      <c r="A5" s="5" t="inlineStr">
        <is>
          <t>WBS</t>
        </is>
      </c>
      <c r="B5" s="5" t="inlineStr">
        <is>
          <t>Workstream / Activity</t>
        </is>
      </c>
      <c r="C5" s="5" t="inlineStr">
        <is>
          <t>FRD Ref</t>
        </is>
      </c>
      <c r="D5" s="5" t="inlineStr">
        <is>
          <t>Owner</t>
        </is>
      </c>
      <c r="E5" s="5" t="inlineStr">
        <is>
          <t>Planned Start (Wk)</t>
        </is>
      </c>
      <c r="F5" s="5" t="inlineStr">
        <is>
          <t>Planned Finish (Wk)</t>
        </is>
      </c>
      <c r="G5" s="5" t="inlineStr">
        <is>
          <t>Weight %</t>
        </is>
      </c>
      <c r="H5" s="5" t="inlineStr">
        <is>
          <t>% Complete</t>
        </is>
      </c>
      <c r="I5" s="5" t="inlineStr">
        <is>
          <t>Status</t>
        </is>
      </c>
    </row>
    <row r="6" ht="21.75" customHeight="1">
      <c r="A6" s="22" t="inlineStr">
        <is>
          <t>WS1</t>
        </is>
      </c>
      <c r="B6" s="22" t="inlineStr">
        <is>
          <t>BACKEND API / PLATFORM</t>
        </is>
      </c>
      <c r="C6" s="10" t="n"/>
      <c r="D6" s="10" t="n"/>
      <c r="E6" s="10" t="n"/>
      <c r="F6" s="10" t="n"/>
      <c r="G6" s="10" t="n"/>
      <c r="H6" s="10" t="n"/>
      <c r="I6" s="10" t="n"/>
    </row>
    <row r="7" ht="21.75" customHeight="1">
      <c r="A7" s="18" t="inlineStr">
        <is>
          <t>WS1.1</t>
        </is>
      </c>
      <c r="B7" s="2" t="inlineStr">
        <is>
          <t>Foundation: architecture, auth, roles &amp; permissions, CI</t>
        </is>
      </c>
      <c r="C7" s="13" t="inlineStr">
        <is>
          <t>FRD 5,6</t>
        </is>
      </c>
      <c r="D7" s="13" t="inlineStr">
        <is>
          <t>Ujjawal</t>
        </is>
      </c>
      <c r="E7" s="13" t="inlineStr">
        <is>
          <t>W1</t>
        </is>
      </c>
      <c r="F7" s="13" t="inlineStr">
        <is>
          <t>W1</t>
        </is>
      </c>
      <c r="G7" s="14" t="n">
        <v>0.03</v>
      </c>
      <c r="H7" s="14" t="n">
        <v>1</v>
      </c>
      <c r="I7" s="13" t="inlineStr">
        <is>
          <t>Complete</t>
        </is>
      </c>
    </row>
    <row r="8" ht="21.75" customHeight="1">
      <c r="A8" s="18" t="inlineStr">
        <is>
          <t>WS1.2</t>
        </is>
      </c>
      <c r="B8" s="2" t="inlineStr">
        <is>
          <t>Farm sourcing: farmer registry, traceability ID, agreements, seed, training, field monitoring</t>
        </is>
      </c>
      <c r="C8" s="13" t="inlineStr">
        <is>
          <t>FRD 7-12</t>
        </is>
      </c>
      <c r="D8" s="13" t="inlineStr">
        <is>
          <t>Ujjawal</t>
        </is>
      </c>
      <c r="E8" s="13" t="inlineStr">
        <is>
          <t>W1</t>
        </is>
      </c>
      <c r="F8" s="13" t="inlineStr">
        <is>
          <t>W2</t>
        </is>
      </c>
      <c r="G8" s="14" t="n">
        <v>0.05</v>
      </c>
      <c r="H8" s="14" t="n">
        <v>1</v>
      </c>
      <c r="I8" s="13" t="inlineStr">
        <is>
          <t>Complete</t>
        </is>
      </c>
    </row>
    <row r="9" ht="21.75" customHeight="1">
      <c r="A9" s="18" t="inlineStr">
        <is>
          <t>WS1.3</t>
        </is>
      </c>
      <c r="B9" s="2" t="inlineStr">
        <is>
          <t>Procurement: planning, harvest inspection, collection, batching, warehouse &amp; inventory</t>
        </is>
      </c>
      <c r="C9" s="13" t="inlineStr">
        <is>
          <t>FRD 13-17</t>
        </is>
      </c>
      <c r="D9" s="13" t="inlineStr">
        <is>
          <t>Ujjawal</t>
        </is>
      </c>
      <c r="E9" s="13" t="inlineStr">
        <is>
          <t>W2</t>
        </is>
      </c>
      <c r="F9" s="13" t="inlineStr">
        <is>
          <t>W3</t>
        </is>
      </c>
      <c r="G9" s="14" t="n">
        <v>0.05</v>
      </c>
      <c r="H9" s="14" t="n">
        <v>1</v>
      </c>
      <c r="I9" s="13" t="inlineStr">
        <is>
          <t>Complete</t>
        </is>
      </c>
    </row>
    <row r="10" ht="21.75" customHeight="1">
      <c r="A10" s="18" t="inlineStr">
        <is>
          <t>WS1.4</t>
        </is>
      </c>
      <c r="B10" s="2" t="inlineStr">
        <is>
          <t>Processing: cleaning/grading, recipes, production, QA, packaging, finished goods</t>
        </is>
      </c>
      <c r="C10" s="13" t="inlineStr">
        <is>
          <t>FRD 18-23</t>
        </is>
      </c>
      <c r="D10" s="13" t="inlineStr">
        <is>
          <t>Ujjawal</t>
        </is>
      </c>
      <c r="E10" s="13" t="inlineStr">
        <is>
          <t>W3</t>
        </is>
      </c>
      <c r="F10" s="13" t="inlineStr">
        <is>
          <t>W4</t>
        </is>
      </c>
      <c r="G10" s="14" t="n">
        <v>0.06</v>
      </c>
      <c r="H10" s="14" t="n">
        <v>1</v>
      </c>
      <c r="I10" s="13" t="inlineStr">
        <is>
          <t>Complete</t>
        </is>
      </c>
    </row>
    <row r="11" ht="21.75" customHeight="1">
      <c r="A11" s="18" t="inlineStr">
        <is>
          <t>WS1.5</t>
        </is>
      </c>
      <c r="B11" s="2" t="inlineStr">
        <is>
          <t>Sales &amp; order fulfilment (B2B), dispatch &amp; delivery - channel-aware order model</t>
        </is>
      </c>
      <c r="C11" s="13" t="inlineStr">
        <is>
          <t>FRD 24-28</t>
        </is>
      </c>
      <c r="D11" s="13" t="inlineStr">
        <is>
          <t>Ujjawal</t>
        </is>
      </c>
      <c r="E11" s="13" t="inlineStr">
        <is>
          <t>W2</t>
        </is>
      </c>
      <c r="F11" s="13" t="inlineStr">
        <is>
          <t>W5</t>
        </is>
      </c>
      <c r="G11" s="14" t="n">
        <v>0.06</v>
      </c>
      <c r="H11" s="14" t="n">
        <v>0.05</v>
      </c>
      <c r="I11" s="13" t="inlineStr">
        <is>
          <t>In progress</t>
        </is>
      </c>
    </row>
    <row r="12" ht="21.75" customHeight="1">
      <c r="A12" s="18" t="inlineStr">
        <is>
          <t>WS1.6</t>
        </is>
      </c>
      <c r="B12" s="2" t="inlineStr">
        <is>
          <t>Channel pricing engine: dated price lists per channel (B2B / B2C)  [NEW - Decision 1]</t>
        </is>
      </c>
      <c r="C12" s="13" t="inlineStr">
        <is>
          <t>FRD 24-26</t>
        </is>
      </c>
      <c r="D12" s="13" t="inlineStr">
        <is>
          <t>Ujjawal</t>
        </is>
      </c>
      <c r="E12" s="13" t="inlineStr">
        <is>
          <t>W2</t>
        </is>
      </c>
      <c r="F12" s="13" t="inlineStr">
        <is>
          <t>W3</t>
        </is>
      </c>
      <c r="G12" s="14" t="n">
        <v>0.02</v>
      </c>
      <c r="H12" s="14" t="n">
        <v>0</v>
      </c>
      <c r="I12" s="13" t="inlineStr">
        <is>
          <t>In progress</t>
        </is>
      </c>
    </row>
    <row r="13" ht="21.75" customHeight="1">
      <c r="A13" s="23" t="inlineStr">
        <is>
          <t>WS1.7</t>
        </is>
      </c>
      <c r="B13" s="24" t="inlineStr">
        <is>
          <t>Consumer (B2C) commerce APIs: accounts, cart, checkout, order tracking  [NEW - Decision 1]</t>
        </is>
      </c>
      <c r="C13" s="25" t="inlineStr">
        <is>
          <t>FRD 29-30</t>
        </is>
      </c>
      <c r="D13" s="25" t="inlineStr">
        <is>
          <t>Ujjawal</t>
        </is>
      </c>
      <c r="E13" s="25" t="inlineStr">
        <is>
          <t>W5</t>
        </is>
      </c>
      <c r="F13" s="25" t="inlineStr">
        <is>
          <t>W7</t>
        </is>
      </c>
      <c r="G13" s="26" t="n">
        <v>0.04</v>
      </c>
      <c r="H13" s="26" t="n">
        <v>0</v>
      </c>
      <c r="I13" s="25" t="inlineStr">
        <is>
          <t>Conditional</t>
        </is>
      </c>
    </row>
    <row r="14" ht="21.75" customHeight="1">
      <c r="A14" s="18" t="inlineStr">
        <is>
          <t>WS1.8</t>
        </is>
      </c>
      <c r="B14" s="2" t="inlineStr">
        <is>
          <t>Customer feedback, complaints &amp; analytics</t>
        </is>
      </c>
      <c r="C14" s="13" t="inlineStr">
        <is>
          <t>FRD 31-34</t>
        </is>
      </c>
      <c r="D14" s="13" t="inlineStr">
        <is>
          <t>Ujjawal</t>
        </is>
      </c>
      <c r="E14" s="13" t="inlineStr">
        <is>
          <t>W7</t>
        </is>
      </c>
      <c r="F14" s="13" t="inlineStr">
        <is>
          <t>W8</t>
        </is>
      </c>
      <c r="G14" s="14" t="n">
        <v>0.03</v>
      </c>
      <c r="H14" s="14" t="n">
        <v>0</v>
      </c>
      <c r="I14" s="13" t="inlineStr">
        <is>
          <t>Not started</t>
        </is>
      </c>
    </row>
    <row r="15" ht="21.75" customHeight="1">
      <c r="A15" s="18" t="inlineStr">
        <is>
          <t>WS1.9</t>
        </is>
      </c>
      <c r="B15" s="2" t="inlineStr">
        <is>
          <t>Notifications, document management &amp; reporting engine</t>
        </is>
      </c>
      <c r="C15" s="13" t="inlineStr">
        <is>
          <t>FRD 33-35</t>
        </is>
      </c>
      <c r="D15" s="13" t="inlineStr">
        <is>
          <t>Ujjawal</t>
        </is>
      </c>
      <c r="E15" s="13" t="inlineStr">
        <is>
          <t>W8</t>
        </is>
      </c>
      <c r="F15" s="13" t="inlineStr">
        <is>
          <t>W9</t>
        </is>
      </c>
      <c r="G15" s="14" t="n">
        <v>0.02</v>
      </c>
      <c r="H15" s="14" t="n">
        <v>0</v>
      </c>
      <c r="I15" s="13" t="inlineStr">
        <is>
          <t>Not started</t>
        </is>
      </c>
    </row>
    <row r="16" ht="21.75" customHeight="1">
      <c r="A16" s="22" t="inlineStr">
        <is>
          <t>WS2</t>
        </is>
      </c>
      <c r="B16" s="22" t="inlineStr">
        <is>
          <t>ADMIN WEB PANEL (FRONTEND)</t>
        </is>
      </c>
      <c r="C16" s="10" t="n"/>
      <c r="D16" s="10" t="n"/>
      <c r="E16" s="10" t="n"/>
      <c r="F16" s="10" t="n"/>
      <c r="G16" s="10" t="n"/>
      <c r="H16" s="10" t="n"/>
      <c r="I16" s="10" t="n"/>
    </row>
    <row r="17" ht="21.75" customHeight="1">
      <c r="A17" s="18" t="inlineStr">
        <is>
          <t>WS2.1</t>
        </is>
      </c>
      <c r="B17" s="2" t="inlineStr">
        <is>
          <t>Panel scaffolding, auth, role-based navigation</t>
        </is>
      </c>
      <c r="C17" s="13" t="inlineStr">
        <is>
          <t>FRD 5</t>
        </is>
      </c>
      <c r="D17" s="13" t="inlineStr">
        <is>
          <t>Raunak</t>
        </is>
      </c>
      <c r="E17" s="13" t="inlineStr">
        <is>
          <t>W2</t>
        </is>
      </c>
      <c r="F17" s="13" t="inlineStr">
        <is>
          <t>W4</t>
        </is>
      </c>
      <c r="G17" s="14" t="n">
        <v>0.03</v>
      </c>
      <c r="H17" s="14" t="n">
        <v>0</v>
      </c>
      <c r="I17" s="13" t="inlineStr">
        <is>
          <t>Not started</t>
        </is>
      </c>
    </row>
    <row r="18" ht="21.75" customHeight="1">
      <c r="A18" s="18" t="inlineStr">
        <is>
          <t>WS2.2</t>
        </is>
      </c>
      <c r="B18" s="2" t="inlineStr">
        <is>
          <t>Master data, farmer &amp; channel pricing screens</t>
        </is>
      </c>
      <c r="C18" s="13" t="inlineStr">
        <is>
          <t>FRD 6-12</t>
        </is>
      </c>
      <c r="D18" s="13" t="inlineStr">
        <is>
          <t>Raunak</t>
        </is>
      </c>
      <c r="E18" s="13" t="inlineStr">
        <is>
          <t>W4</t>
        </is>
      </c>
      <c r="F18" s="13" t="inlineStr">
        <is>
          <t>W6</t>
        </is>
      </c>
      <c r="G18" s="14" t="n">
        <v>0.05</v>
      </c>
      <c r="H18" s="14" t="n">
        <v>0</v>
      </c>
      <c r="I18" s="13" t="inlineStr">
        <is>
          <t>Not started</t>
        </is>
      </c>
    </row>
    <row r="19" ht="21.75" customHeight="1">
      <c r="A19" s="18" t="inlineStr">
        <is>
          <t>WS2.3</t>
        </is>
      </c>
      <c r="B19" s="2" t="inlineStr">
        <is>
          <t>Procurement, warehouse &amp; inventory screens</t>
        </is>
      </c>
      <c r="C19" s="13" t="inlineStr">
        <is>
          <t>FRD 13-17</t>
        </is>
      </c>
      <c r="D19" s="13" t="inlineStr">
        <is>
          <t>Raunak</t>
        </is>
      </c>
      <c r="E19" s="13" t="inlineStr">
        <is>
          <t>W6</t>
        </is>
      </c>
      <c r="F19" s="13" t="inlineStr">
        <is>
          <t>W8</t>
        </is>
      </c>
      <c r="G19" s="14" t="n">
        <v>0.04</v>
      </c>
      <c r="H19" s="14" t="n">
        <v>0</v>
      </c>
      <c r="I19" s="13" t="inlineStr">
        <is>
          <t>Not started</t>
        </is>
      </c>
    </row>
    <row r="20" ht="21.75" customHeight="1">
      <c r="A20" s="18" t="inlineStr">
        <is>
          <t>WS2.4</t>
        </is>
      </c>
      <c r="B20" s="2" t="inlineStr">
        <is>
          <t>Production, recipe &amp; quality screens</t>
        </is>
      </c>
      <c r="C20" s="13" t="inlineStr">
        <is>
          <t>FRD 18-23</t>
        </is>
      </c>
      <c r="D20" s="13" t="inlineStr">
        <is>
          <t>Raunak</t>
        </is>
      </c>
      <c r="E20" s="13" t="inlineStr">
        <is>
          <t>W8</t>
        </is>
      </c>
      <c r="F20" s="13" t="inlineStr">
        <is>
          <t>W10</t>
        </is>
      </c>
      <c r="G20" s="14" t="n">
        <v>0.04</v>
      </c>
      <c r="H20" s="14" t="n">
        <v>0</v>
      </c>
      <c r="I20" s="13" t="inlineStr">
        <is>
          <t>Not started</t>
        </is>
      </c>
    </row>
    <row r="21" ht="21.75" customHeight="1">
      <c r="A21" s="18" t="inlineStr">
        <is>
          <t>WS2.5</t>
        </is>
      </c>
      <c r="B21" s="2" t="inlineStr">
        <is>
          <t>Sales, dispatch &amp; delivery screens (channel-aware)</t>
        </is>
      </c>
      <c r="C21" s="13" t="inlineStr">
        <is>
          <t>FRD 24-28</t>
        </is>
      </c>
      <c r="D21" s="13" t="inlineStr">
        <is>
          <t>Raunak</t>
        </is>
      </c>
      <c r="E21" s="13" t="inlineStr">
        <is>
          <t>W10</t>
        </is>
      </c>
      <c r="F21" s="13" t="inlineStr">
        <is>
          <t>W12</t>
        </is>
      </c>
      <c r="G21" s="14" t="n">
        <v>0.03</v>
      </c>
      <c r="H21" s="14" t="n">
        <v>0</v>
      </c>
      <c r="I21" s="13" t="inlineStr">
        <is>
          <t>Not started</t>
        </is>
      </c>
    </row>
    <row r="22" ht="21.75" customHeight="1">
      <c r="A22" s="18" t="inlineStr">
        <is>
          <t>WS2.6</t>
        </is>
      </c>
      <c r="B22" s="2" t="inlineStr">
        <is>
          <t>Dashboards, reports &amp; analytics screens</t>
        </is>
      </c>
      <c r="C22" s="13" t="inlineStr">
        <is>
          <t>FRD 34</t>
        </is>
      </c>
      <c r="D22" s="13" t="inlineStr">
        <is>
          <t>Raunak</t>
        </is>
      </c>
      <c r="E22" s="13" t="inlineStr">
        <is>
          <t>W12</t>
        </is>
      </c>
      <c r="F22" s="13" t="inlineStr">
        <is>
          <t>W13</t>
        </is>
      </c>
      <c r="G22" s="14" t="n">
        <v>0.03</v>
      </c>
      <c r="H22" s="14" t="n">
        <v>0</v>
      </c>
      <c r="I22" s="13" t="inlineStr">
        <is>
          <t>Not started</t>
        </is>
      </c>
    </row>
    <row r="23" ht="21.75" customHeight="1">
      <c r="A23" s="22" t="inlineStr">
        <is>
          <t>WS3</t>
        </is>
      </c>
      <c r="B23" s="22" t="inlineStr">
        <is>
          <t>MOBILE APPS &amp; CONSUMER CHANNEL</t>
        </is>
      </c>
      <c r="C23" s="10" t="n"/>
      <c r="D23" s="10" t="n"/>
      <c r="E23" s="10" t="n"/>
      <c r="F23" s="10" t="n"/>
      <c r="G23" s="10" t="n"/>
      <c r="H23" s="10" t="n"/>
      <c r="I23" s="10" t="n"/>
    </row>
    <row r="24" ht="21.75" customHeight="1">
      <c r="A24" s="18" t="inlineStr">
        <is>
          <t>WS3.1</t>
        </is>
      </c>
      <c r="B24" s="2" t="inlineStr">
        <is>
          <t>Agriculture Expert app (offline field visits, crop monitoring, training logs)</t>
        </is>
      </c>
      <c r="C24" s="13" t="inlineStr">
        <is>
          <t>FRD 12</t>
        </is>
      </c>
      <c r="D24" s="13" t="inlineStr">
        <is>
          <t>Raunak</t>
        </is>
      </c>
      <c r="E24" s="13" t="inlineStr">
        <is>
          <t>W10</t>
        </is>
      </c>
      <c r="F24" s="13" t="inlineStr">
        <is>
          <t>W12</t>
        </is>
      </c>
      <c r="G24" s="14" t="n">
        <v>0.05</v>
      </c>
      <c r="H24" s="14" t="n">
        <v>0</v>
      </c>
      <c r="I24" s="13" t="inlineStr">
        <is>
          <t>Not started</t>
        </is>
      </c>
    </row>
    <row r="25" ht="21.75" customHeight="1">
      <c r="A25" s="18" t="inlineStr">
        <is>
          <t>WS3.2</t>
        </is>
      </c>
      <c r="B25" s="2" t="inlineStr">
        <is>
          <t>Sales Executive app (B2B order capture)</t>
        </is>
      </c>
      <c r="C25" s="13" t="inlineStr">
        <is>
          <t>FRD 24</t>
        </is>
      </c>
      <c r="D25" s="13" t="inlineStr">
        <is>
          <t>Raunak</t>
        </is>
      </c>
      <c r="E25" s="13" t="inlineStr">
        <is>
          <t>W12</t>
        </is>
      </c>
      <c r="F25" s="13" t="inlineStr">
        <is>
          <t>W14</t>
        </is>
      </c>
      <c r="G25" s="14" t="n">
        <v>0.05</v>
      </c>
      <c r="H25" s="14" t="n">
        <v>0</v>
      </c>
      <c r="I25" s="13" t="inlineStr">
        <is>
          <t>Not started</t>
        </is>
      </c>
    </row>
    <row r="26" ht="21.75" customHeight="1">
      <c r="A26" s="18" t="inlineStr">
        <is>
          <t>WS3.3</t>
        </is>
      </c>
      <c r="B26" s="2" t="inlineStr">
        <is>
          <t>Warehouse app (stock, batch scanning)</t>
        </is>
      </c>
      <c r="C26" s="13" t="inlineStr">
        <is>
          <t>FRD 16-17</t>
        </is>
      </c>
      <c r="D26" s="13" t="inlineStr">
        <is>
          <t>Ujjawal</t>
        </is>
      </c>
      <c r="E26" s="13" t="inlineStr">
        <is>
          <t>W13</t>
        </is>
      </c>
      <c r="F26" s="13" t="inlineStr">
        <is>
          <t>W14</t>
        </is>
      </c>
      <c r="G26" s="14" t="n">
        <v>0.03</v>
      </c>
      <c r="H26" s="14" t="n">
        <v>0</v>
      </c>
      <c r="I26" s="13" t="inlineStr">
        <is>
          <t>Not started</t>
        </is>
      </c>
    </row>
    <row r="27" ht="21.75" customHeight="1">
      <c r="A27" s="18" t="inlineStr">
        <is>
          <t>WS3.4</t>
        </is>
      </c>
      <c r="B27" s="2" t="inlineStr">
        <is>
          <t>Delivery app (route, OTP, proof of delivery)</t>
        </is>
      </c>
      <c r="C27" s="13" t="inlineStr">
        <is>
          <t>FRD 27-28</t>
        </is>
      </c>
      <c r="D27" s="13" t="inlineStr">
        <is>
          <t>Ujjawal</t>
        </is>
      </c>
      <c r="E27" s="13" t="inlineStr">
        <is>
          <t>W14</t>
        </is>
      </c>
      <c r="F27" s="13" t="inlineStr">
        <is>
          <t>W15</t>
        </is>
      </c>
      <c r="G27" s="14" t="n">
        <v>0.04</v>
      </c>
      <c r="H27" s="14" t="n">
        <v>0</v>
      </c>
      <c r="I27" s="13" t="inlineStr">
        <is>
          <t>Not started</t>
        </is>
      </c>
    </row>
    <row r="28" ht="21.75" customHeight="1">
      <c r="A28" s="23" t="inlineStr">
        <is>
          <t>WS3.5</t>
        </is>
      </c>
      <c r="B28" s="24" t="inlineStr">
        <is>
          <t>Consumer app / website (B2C): browse, cart, accounts, tracking, QR scan  [NEW - Decision 1]</t>
        </is>
      </c>
      <c r="C28" s="25" t="inlineStr">
        <is>
          <t>FRD 29-32</t>
        </is>
      </c>
      <c r="D28" s="25" t="inlineStr">
        <is>
          <t>Raunak</t>
        </is>
      </c>
      <c r="E28" s="25" t="inlineStr">
        <is>
          <t>W13</t>
        </is>
      </c>
      <c r="F28" s="25" t="inlineStr">
        <is>
          <t>W17</t>
        </is>
      </c>
      <c r="G28" s="26" t="n">
        <v>0.07000000000000001</v>
      </c>
      <c r="H28" s="26" t="n">
        <v>0</v>
      </c>
      <c r="I28" s="25" t="inlineStr">
        <is>
          <t>Conditional</t>
        </is>
      </c>
    </row>
    <row r="29" ht="21.75" customHeight="1">
      <c r="A29" s="22" t="inlineStr">
        <is>
          <t>WS4</t>
        </is>
      </c>
      <c r="B29" s="22" t="inlineStr">
        <is>
          <t>INTEGRATIONS &amp; INFRASTRUCTURE</t>
        </is>
      </c>
      <c r="C29" s="10" t="n"/>
      <c r="D29" s="10" t="n"/>
      <c r="E29" s="10" t="n"/>
      <c r="F29" s="10" t="n"/>
      <c r="G29" s="10" t="n"/>
      <c r="H29" s="10" t="n"/>
      <c r="I29" s="10" t="n"/>
    </row>
    <row r="30" ht="21.75" customHeight="1">
      <c r="A30" s="18" t="inlineStr">
        <is>
          <t>WS4.1</t>
        </is>
      </c>
      <c r="B30" s="2" t="inlineStr">
        <is>
          <t>Cloud object storage (photos, documents, video)</t>
        </is>
      </c>
      <c r="C30" s="13" t="inlineStr">
        <is>
          <t>FRD 35</t>
        </is>
      </c>
      <c r="D30" s="13" t="inlineStr">
        <is>
          <t>Ujjawal</t>
        </is>
      </c>
      <c r="E30" s="13" t="inlineStr">
        <is>
          <t>W5</t>
        </is>
      </c>
      <c r="F30" s="13" t="inlineStr">
        <is>
          <t>W6</t>
        </is>
      </c>
      <c r="G30" s="14" t="n">
        <v>0.02</v>
      </c>
      <c r="H30" s="14" t="n">
        <v>0</v>
      </c>
      <c r="I30" s="13" t="inlineStr">
        <is>
          <t>Blocked</t>
        </is>
      </c>
    </row>
    <row r="31" ht="21.75" customHeight="1">
      <c r="A31" s="18" t="inlineStr">
        <is>
          <t>WS4.2</t>
        </is>
      </c>
      <c r="B31" s="2" t="inlineStr">
        <is>
          <t>WhatsApp Business API (via BSP)</t>
        </is>
      </c>
      <c r="C31" s="13" t="inlineStr">
        <is>
          <t>FRD 33</t>
        </is>
      </c>
      <c r="D31" s="13" t="inlineStr">
        <is>
          <t>Ujjawal</t>
        </is>
      </c>
      <c r="E31" s="13" t="inlineStr">
        <is>
          <t>W9</t>
        </is>
      </c>
      <c r="F31" s="13" t="inlineStr">
        <is>
          <t>W10</t>
        </is>
      </c>
      <c r="G31" s="14" t="n">
        <v>0.01</v>
      </c>
      <c r="H31" s="14" t="n">
        <v>0</v>
      </c>
      <c r="I31" s="13" t="inlineStr">
        <is>
          <t>Not started</t>
        </is>
      </c>
    </row>
    <row r="32" ht="21.75" customHeight="1">
      <c r="A32" s="18" t="inlineStr">
        <is>
          <t>WS4.3</t>
        </is>
      </c>
      <c r="B32" s="2" t="inlineStr">
        <is>
          <t>SMS / OTP gateway</t>
        </is>
      </c>
      <c r="C32" s="13" t="inlineStr">
        <is>
          <t>FRD 28,33</t>
        </is>
      </c>
      <c r="D32" s="13" t="inlineStr">
        <is>
          <t>Ujjawal</t>
        </is>
      </c>
      <c r="E32" s="13" t="inlineStr">
        <is>
          <t>W9</t>
        </is>
      </c>
      <c r="F32" s="13" t="inlineStr">
        <is>
          <t>W10</t>
        </is>
      </c>
      <c r="G32" s="14" t="n">
        <v>0.01</v>
      </c>
      <c r="H32" s="14" t="n">
        <v>0</v>
      </c>
      <c r="I32" s="13" t="inlineStr">
        <is>
          <t>Not started</t>
        </is>
      </c>
    </row>
    <row r="33" ht="21.75" customHeight="1">
      <c r="A33" s="18" t="inlineStr">
        <is>
          <t>WS4.4</t>
        </is>
      </c>
      <c r="B33" s="2" t="inlineStr">
        <is>
          <t>GST e-invoicing (IRN/IRP) &amp; e-way bill via GST Suvidha Provider</t>
        </is>
      </c>
      <c r="C33" s="13" t="inlineStr">
        <is>
          <t>FRD 26</t>
        </is>
      </c>
      <c r="D33" s="13" t="inlineStr">
        <is>
          <t>Ujjawal</t>
        </is>
      </c>
      <c r="E33" s="13" t="inlineStr">
        <is>
          <t>W7</t>
        </is>
      </c>
      <c r="F33" s="13" t="inlineStr">
        <is>
          <t>W9</t>
        </is>
      </c>
      <c r="G33" s="14" t="n">
        <v>0.02</v>
      </c>
      <c r="H33" s="14" t="n">
        <v>0</v>
      </c>
      <c r="I33" s="13" t="inlineStr">
        <is>
          <t>Not started</t>
        </is>
      </c>
    </row>
    <row r="34" ht="21.75" customHeight="1">
      <c r="A34" s="23" t="inlineStr">
        <is>
          <t>WS4.5</t>
        </is>
      </c>
      <c r="B34" s="24" t="inlineStr">
        <is>
          <t>Payment gateway - Razorpay (B2C confirmed, was on hold)</t>
        </is>
      </c>
      <c r="C34" s="25" t="inlineStr">
        <is>
          <t>FRD 26</t>
        </is>
      </c>
      <c r="D34" s="25" t="inlineStr">
        <is>
          <t>Ujjawal</t>
        </is>
      </c>
      <c r="E34" s="25" t="inlineStr">
        <is>
          <t>W12</t>
        </is>
      </c>
      <c r="F34" s="25" t="inlineStr">
        <is>
          <t>W13</t>
        </is>
      </c>
      <c r="G34" s="26" t="n">
        <v>0.01</v>
      </c>
      <c r="H34" s="26" t="n">
        <v>0</v>
      </c>
      <c r="I34" s="25" t="inlineStr">
        <is>
          <t>Conditional</t>
        </is>
      </c>
    </row>
    <row r="35" ht="21.75" customHeight="1">
      <c r="A35" s="22" t="inlineStr">
        <is>
          <t>WS5</t>
        </is>
      </c>
      <c r="B35" s="22" t="inlineStr">
        <is>
          <t>QUALITY, DEPLOYMENT &amp; HANDOVER</t>
        </is>
      </c>
      <c r="C35" s="10" t="n"/>
      <c r="D35" s="10" t="n"/>
      <c r="E35" s="10" t="n"/>
      <c r="F35" s="10" t="n"/>
      <c r="G35" s="10" t="n"/>
      <c r="H35" s="10" t="n"/>
      <c r="I35" s="10" t="n"/>
    </row>
    <row r="36" ht="21.75" customHeight="1">
      <c r="A36" s="18" t="inlineStr">
        <is>
          <t>WS5.1</t>
        </is>
      </c>
      <c r="B36" s="2" t="inlineStr">
        <is>
          <t>Automated test suite &amp; continuous integration</t>
        </is>
      </c>
      <c r="C36" s="13" t="inlineStr">
        <is>
          <t>-</t>
        </is>
      </c>
      <c r="D36" s="13" t="inlineStr">
        <is>
          <t>Ujjawal</t>
        </is>
      </c>
      <c r="E36" s="13" t="inlineStr">
        <is>
          <t>W1</t>
        </is>
      </c>
      <c r="F36" s="13" t="inlineStr">
        <is>
          <t>W16</t>
        </is>
      </c>
      <c r="G36" s="14" t="n">
        <v>0.02</v>
      </c>
      <c r="H36" s="14" t="n">
        <v>0.45</v>
      </c>
      <c r="I36" s="13" t="inlineStr">
        <is>
          <t>In progress</t>
        </is>
      </c>
    </row>
    <row r="37" ht="21.75" customHeight="1">
      <c r="A37" s="18" t="inlineStr">
        <is>
          <t>WS5.2</t>
        </is>
      </c>
      <c r="B37" s="2" t="inlineStr">
        <is>
          <t>Staging environment &amp; deployment pipeline</t>
        </is>
      </c>
      <c r="C37" s="13" t="inlineStr">
        <is>
          <t>-</t>
        </is>
      </c>
      <c r="D37" s="13" t="inlineStr">
        <is>
          <t>Ujjawal</t>
        </is>
      </c>
      <c r="E37" s="13" t="inlineStr">
        <is>
          <t>W2</t>
        </is>
      </c>
      <c r="F37" s="13" t="inlineStr">
        <is>
          <t>W3</t>
        </is>
      </c>
      <c r="G37" s="14" t="n">
        <v>0.01</v>
      </c>
      <c r="H37" s="14" t="n">
        <v>0</v>
      </c>
      <c r="I37" s="13" t="inlineStr">
        <is>
          <t>Not started</t>
        </is>
      </c>
    </row>
    <row r="38" ht="21.75" customHeight="1">
      <c r="A38" s="18" t="inlineStr">
        <is>
          <t>WS5.3</t>
        </is>
      </c>
      <c r="B38" s="2" t="inlineStr">
        <is>
          <t>Data migration (existing customer &amp; product masters)</t>
        </is>
      </c>
      <c r="C38" s="13" t="inlineStr">
        <is>
          <t>-</t>
        </is>
      </c>
      <c r="D38" s="13" t="inlineStr">
        <is>
          <t>Raunak</t>
        </is>
      </c>
      <c r="E38" s="13" t="inlineStr">
        <is>
          <t>W14</t>
        </is>
      </c>
      <c r="F38" s="13" t="inlineStr">
        <is>
          <t>W15</t>
        </is>
      </c>
      <c r="G38" s="14" t="n">
        <v>0.02</v>
      </c>
      <c r="H38" s="14" t="n">
        <v>0</v>
      </c>
      <c r="I38" s="13" t="inlineStr">
        <is>
          <t>Not started</t>
        </is>
      </c>
    </row>
    <row r="39" ht="21.75" customHeight="1">
      <c r="A39" s="18" t="inlineStr">
        <is>
          <t>WS5.4</t>
        </is>
      </c>
      <c r="B39" s="2" t="inlineStr">
        <is>
          <t>User acceptance testing (UAT) with SVV Balaji - B2B</t>
        </is>
      </c>
      <c r="C39" s="13" t="inlineStr">
        <is>
          <t>-</t>
        </is>
      </c>
      <c r="D39" s="13" t="inlineStr">
        <is>
          <t>Joint</t>
        </is>
      </c>
      <c r="E39" s="13" t="inlineStr">
        <is>
          <t>W15</t>
        </is>
      </c>
      <c r="F39" s="13" t="inlineStr">
        <is>
          <t>W17</t>
        </is>
      </c>
      <c r="G39" s="14" t="n">
        <v>0.02</v>
      </c>
      <c r="H39" s="14" t="n">
        <v>0</v>
      </c>
      <c r="I39" s="13" t="inlineStr">
        <is>
          <t>Not started</t>
        </is>
      </c>
    </row>
    <row r="40" ht="21.75" customHeight="1">
      <c r="A40" s="18" t="inlineStr">
        <is>
          <t>WS5.5</t>
        </is>
      </c>
      <c r="B40" s="2" t="inlineStr">
        <is>
          <t>Backups, monitoring &amp; disaster recovery</t>
        </is>
      </c>
      <c r="C40" s="13" t="inlineStr">
        <is>
          <t>-</t>
        </is>
      </c>
      <c r="D40" s="13" t="inlineStr">
        <is>
          <t>Ujjawal</t>
        </is>
      </c>
      <c r="E40" s="13" t="inlineStr">
        <is>
          <t>W15</t>
        </is>
      </c>
      <c r="F40" s="13" t="inlineStr">
        <is>
          <t>W16</t>
        </is>
      </c>
      <c r="G40" s="14" t="n">
        <v>0.01</v>
      </c>
      <c r="H40" s="14" t="n">
        <v>0</v>
      </c>
      <c r="I40" s="13" t="inlineStr">
        <is>
          <t>Not started</t>
        </is>
      </c>
    </row>
    <row r="41" ht="21.75" customHeight="1">
      <c r="A41" s="18" t="inlineStr">
        <is>
          <t>WS5.6</t>
        </is>
      </c>
      <c r="B41" s="2" t="inlineStr">
        <is>
          <t>Training &amp; handover</t>
        </is>
      </c>
      <c r="C41" s="13" t="inlineStr">
        <is>
          <t>-</t>
        </is>
      </c>
      <c r="D41" s="13" t="inlineStr">
        <is>
          <t>Joint</t>
        </is>
      </c>
      <c r="E41" s="13" t="inlineStr">
        <is>
          <t>W17</t>
        </is>
      </c>
      <c r="F41" s="13" t="inlineStr">
        <is>
          <t>W18</t>
        </is>
      </c>
      <c r="G41" s="14" t="n">
        <v>0.01</v>
      </c>
      <c r="H41" s="14" t="n">
        <v>0</v>
      </c>
      <c r="I41" s="13" t="inlineStr">
        <is>
          <t>Not started</t>
        </is>
      </c>
    </row>
    <row r="42" ht="21.75" customHeight="1">
      <c r="A42" s="18" t="inlineStr">
        <is>
          <t>WS5.7</t>
        </is>
      </c>
      <c r="B42" s="2" t="inlineStr">
        <is>
          <t>Go-live &amp; hypercare - B2B launch</t>
        </is>
      </c>
      <c r="C42" s="13" t="inlineStr">
        <is>
          <t>-</t>
        </is>
      </c>
      <c r="D42" s="13" t="inlineStr">
        <is>
          <t>Joint</t>
        </is>
      </c>
      <c r="E42" s="13" t="inlineStr">
        <is>
          <t>W18</t>
        </is>
      </c>
      <c r="F42" s="13" t="inlineStr">
        <is>
          <t>W18</t>
        </is>
      </c>
      <c r="G42" s="14" t="n">
        <v>0.01</v>
      </c>
      <c r="H42" s="14" t="n">
        <v>0</v>
      </c>
      <c r="I42" s="13" t="inlineStr">
        <is>
          <t>Not started</t>
        </is>
      </c>
    </row>
    <row r="43" ht="21.75" customHeight="1">
      <c r="A43" s="23" t="inlineStr">
        <is>
          <t>WS5.8</t>
        </is>
      </c>
      <c r="B43" s="24" t="inlineStr">
        <is>
          <t>B2C UAT &amp; consumer channel launch  [NEW - Decision 1]</t>
        </is>
      </c>
      <c r="C43" s="25" t="inlineStr">
        <is>
          <t>-</t>
        </is>
      </c>
      <c r="D43" s="25" t="inlineStr">
        <is>
          <t>Joint</t>
        </is>
      </c>
      <c r="E43" s="25" t="inlineStr">
        <is>
          <t>W19</t>
        </is>
      </c>
      <c r="F43" s="25" t="inlineStr">
        <is>
          <t>W21</t>
        </is>
      </c>
      <c r="G43" s="26" t="n">
        <v>0.01</v>
      </c>
      <c r="H43" s="26" t="n">
        <v>0</v>
      </c>
      <c r="I43" s="25" t="inlineStr">
        <is>
          <t>Conditional</t>
        </is>
      </c>
    </row>
    <row r="45">
      <c r="B45" s="27" t="inlineStr">
        <is>
          <t>TOTAL WEIGHTED PROJECT COMPLETION</t>
        </is>
      </c>
      <c r="G45" s="28">
        <f>SUM(G7:G43)</f>
        <v/>
      </c>
      <c r="H45" s="29">
        <f>SUMPRODUCT(G7:G43,H7:H43)</f>
        <v/>
      </c>
    </row>
    <row r="46">
      <c r="B46" s="18" t="inlineStr">
        <is>
          <t>Weight validation (must equal 100%)</t>
        </is>
      </c>
      <c r="G46" s="18">
        <f>IF(ROUND(G45*100,2)=100,"OK","ERROR - weights total "&amp;TEXT(G45,"0.0%"))</f>
        <v/>
      </c>
    </row>
    <row r="48">
      <c r="B48" s="18" t="inlineStr">
        <is>
          <t>Weight % reflects estimated share of total project effort, revised for the added B2C scope.</t>
        </is>
      </c>
    </row>
    <row r="49">
      <c r="B49" s="18" t="inlineStr">
        <is>
          <t>Yellow rows are B2C activities added by Decision 1 - not in the signed scope of work.</t>
        </is>
      </c>
    </row>
  </sheetData>
  <mergeCells count="3">
    <mergeCell ref="A1:I1"/>
    <mergeCell ref="A3:I3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44" customWidth="1" min="2" max="2"/>
    <col width="16" customWidth="1" min="3" max="3"/>
    <col width="16" customWidth="1" min="4" max="4"/>
    <col width="11" customWidth="1" min="5" max="5"/>
    <col width="17" customWidth="1" min="6" max="6"/>
    <col width="46" customWidth="1" min="7" max="7"/>
    <col width="52" customWidth="1" min="8" max="8"/>
  </cols>
  <sheetData>
    <row r="1" ht="18" customHeight="1">
      <c r="A1" s="1" t="inlineStr">
        <is>
          <t>WEEKLY PROGRESS REPORT - WEEK 2, UPDATED 11-AUG-2026 (CLIENT DECISIONS RECEIVED)</t>
        </is>
      </c>
    </row>
    <row r="3" ht="30" customHeight="1">
      <c r="A3" s="5" t="inlineStr">
        <is>
          <t>WBS</t>
        </is>
      </c>
      <c r="B3" s="5" t="inlineStr">
        <is>
          <t>Activity</t>
        </is>
      </c>
      <c r="C3" s="5" t="inlineStr">
        <is>
          <t>Planned % (this wk)</t>
        </is>
      </c>
      <c r="D3" s="5" t="inlineStr">
        <is>
          <t>Actual % (this wk)</t>
        </is>
      </c>
      <c r="E3" s="5" t="inlineStr">
        <is>
          <t>Variance</t>
        </is>
      </c>
      <c r="F3" s="5" t="inlineStr">
        <is>
          <t>Schedule Status</t>
        </is>
      </c>
      <c r="G3" s="5" t="inlineStr">
        <is>
          <t>Evidence / Deliverable</t>
        </is>
      </c>
      <c r="H3" s="5" t="inlineStr">
        <is>
          <t>Remarks</t>
        </is>
      </c>
    </row>
    <row r="4" ht="30" customHeight="1">
      <c r="A4" s="18" t="inlineStr">
        <is>
          <t>WS1.1</t>
        </is>
      </c>
      <c r="B4" s="2" t="inlineStr">
        <is>
          <t>Foundation: auth, roles, permissions, CI</t>
        </is>
      </c>
      <c r="C4" s="14" t="n">
        <v>1</v>
      </c>
      <c r="D4" s="14" t="n">
        <v>1</v>
      </c>
      <c r="E4" s="14">
        <f>D4-C4</f>
        <v/>
      </c>
      <c r="F4" s="13" t="inlineStr">
        <is>
          <t>On schedule</t>
        </is>
      </c>
      <c r="G4" s="2" t="inlineStr">
        <is>
          <t>Swagger API docs; 50 automated tests passing</t>
        </is>
      </c>
      <c r="H4" s="2" t="inlineStr">
        <is>
          <t>Complete and verified</t>
        </is>
      </c>
    </row>
    <row r="5" ht="30" customHeight="1">
      <c r="A5" s="18" t="inlineStr">
        <is>
          <t>WS1.2</t>
        </is>
      </c>
      <c r="B5" s="2" t="inlineStr">
        <is>
          <t>Farm sourcing &amp; farmer traceability</t>
        </is>
      </c>
      <c r="C5" s="14" t="n">
        <v>1</v>
      </c>
      <c r="D5" s="14" t="n">
        <v>1</v>
      </c>
      <c r="E5" s="14">
        <f>D5-C5</f>
        <v/>
      </c>
      <c r="F5" s="30" t="inlineStr">
        <is>
          <t>Ahead of schedule</t>
        </is>
      </c>
      <c r="G5" s="2" t="inlineStr">
        <is>
          <t>Live demo: farmer approval issues SVV-2026-NNNNNN code + QR/barcode</t>
        </is>
      </c>
      <c r="H5" s="2" t="inlineStr">
        <is>
          <t>Complete. Training records confirmed as executive-entered - no farmer app required</t>
        </is>
      </c>
    </row>
    <row r="6" ht="30" customHeight="1">
      <c r="A6" s="18" t="inlineStr">
        <is>
          <t>WS1.3</t>
        </is>
      </c>
      <c r="B6" s="2" t="inlineStr">
        <is>
          <t>Procurement, batching, warehouse &amp; inventory</t>
        </is>
      </c>
      <c r="C6" s="14" t="n">
        <v>1</v>
      </c>
      <c r="D6" s="14" t="n">
        <v>1</v>
      </c>
      <c r="E6" s="14">
        <f>D6-C6</f>
        <v/>
      </c>
      <c r="F6" s="30" t="inlineStr">
        <is>
          <t>Ahead of schedule</t>
        </is>
      </c>
      <c r="G6" s="2" t="inlineStr">
        <is>
          <t>Live demo: RM-YYYYMMDD-NNN batch generation; inventory ledger</t>
        </is>
      </c>
      <c r="H6" s="2" t="inlineStr">
        <is>
          <t>Complete ahead of plan</t>
        </is>
      </c>
    </row>
    <row r="7" ht="30" customHeight="1">
      <c r="A7" s="18" t="inlineStr">
        <is>
          <t>WS1.4</t>
        </is>
      </c>
      <c r="B7" s="2" t="inlineStr">
        <is>
          <t>Processing, recipes, QA, packaging</t>
        </is>
      </c>
      <c r="C7" s="14" t="n">
        <v>1</v>
      </c>
      <c r="D7" s="14" t="n">
        <v>1</v>
      </c>
      <c r="E7" s="14">
        <f>D7-C7</f>
        <v/>
      </c>
      <c r="F7" s="30" t="inlineStr">
        <is>
          <t>Ahead of schedule</t>
        </is>
      </c>
      <c r="G7" s="2" t="inlineStr">
        <is>
          <t>Live demo: full trace from finished pack to farmer</t>
        </is>
      </c>
      <c r="H7" s="2" t="inlineStr">
        <is>
          <t>Complete ahead of plan</t>
        </is>
      </c>
    </row>
    <row r="8" ht="30" customHeight="1">
      <c r="A8" s="18" t="inlineStr">
        <is>
          <t>WS1.5</t>
        </is>
      </c>
      <c r="B8" s="2" t="inlineStr">
        <is>
          <t>Sales &amp; order fulfilment (B2B), dispatch &amp; delivery</t>
        </is>
      </c>
      <c r="C8" s="14" t="n">
        <v>0.05</v>
      </c>
      <c r="D8" s="14" t="n">
        <v>0.05</v>
      </c>
      <c r="E8" s="14">
        <f>D8-C8</f>
        <v/>
      </c>
      <c r="F8" s="13" t="inlineStr">
        <is>
          <t>On schedule</t>
        </is>
      </c>
      <c r="G8" s="2" t="inlineStr">
        <is>
          <t>Channel-aware order model in design</t>
        </is>
      </c>
      <c r="H8" s="2" t="inlineStr">
        <is>
          <t>UNBLOCKED 11-Aug by Decision 1. Building channel-aware from the start</t>
        </is>
      </c>
    </row>
    <row r="9" ht="30" customHeight="1">
      <c r="A9" s="18" t="inlineStr">
        <is>
          <t>WS1.6</t>
        </is>
      </c>
      <c r="B9" s="2" t="inlineStr">
        <is>
          <t>Channel pricing engine (B2B / B2C)</t>
        </is>
      </c>
      <c r="C9" s="14" t="n">
        <v>0</v>
      </c>
      <c r="D9" s="14" t="n">
        <v>0</v>
      </c>
      <c r="E9" s="14">
        <f>D9-C9</f>
        <v/>
      </c>
      <c r="F9" s="13" t="inlineStr">
        <is>
          <t>On schedule</t>
        </is>
      </c>
      <c r="G9" s="2" t="inlineStr">
        <is>
          <t>-</t>
        </is>
      </c>
      <c r="H9" s="2" t="inlineStr">
        <is>
          <t>NEW activity from Decision 1. Dated price lists per channel</t>
        </is>
      </c>
    </row>
    <row r="10" ht="30" customHeight="1">
      <c r="A10" s="18" t="inlineStr">
        <is>
          <t>WS1.7</t>
        </is>
      </c>
      <c r="B10" s="2" t="inlineStr">
        <is>
          <t>Consumer (B2C) commerce APIs</t>
        </is>
      </c>
      <c r="C10" s="14" t="n">
        <v>0</v>
      </c>
      <c r="D10" s="14" t="n">
        <v>0</v>
      </c>
      <c r="E10" s="14">
        <f>D10-C10</f>
        <v/>
      </c>
      <c r="F10" s="25" t="inlineStr">
        <is>
          <t>Conditional</t>
        </is>
      </c>
      <c r="G10" s="2" t="inlineStr">
        <is>
          <t>-</t>
        </is>
      </c>
      <c r="H10" s="2" t="inlineStr">
        <is>
          <t>NEW - not in signed SOW. Held pending A-10 cost &amp; timeline agreement</t>
        </is>
      </c>
    </row>
    <row r="11" ht="30" customHeight="1">
      <c r="A11" s="18" t="inlineStr">
        <is>
          <t>WS2.1</t>
        </is>
      </c>
      <c r="B11" s="2" t="inlineStr">
        <is>
          <t>Admin panel scaffolding, auth, role-based navigation</t>
        </is>
      </c>
      <c r="C11" s="14" t="n">
        <v>0</v>
      </c>
      <c r="D11" s="14" t="n">
        <v>0</v>
      </c>
      <c r="E11" s="14">
        <f>D11-C11</f>
        <v/>
      </c>
      <c r="F11" s="13" t="inlineStr">
        <is>
          <t>On schedule</t>
        </is>
      </c>
      <c r="G11" s="2" t="inlineStr">
        <is>
          <t>-</t>
        </is>
      </c>
      <c r="H11" s="2" t="inlineStr">
        <is>
          <t>Nothing blocks this - starting now against live /api/docs contract</t>
        </is>
      </c>
    </row>
    <row r="12" ht="30" customHeight="1">
      <c r="A12" s="18" t="inlineStr">
        <is>
          <t>WS3.5</t>
        </is>
      </c>
      <c r="B12" s="2" t="inlineStr">
        <is>
          <t>Consumer app / website (B2C)</t>
        </is>
      </c>
      <c r="C12" s="14" t="n">
        <v>0</v>
      </c>
      <c r="D12" s="14" t="n">
        <v>0</v>
      </c>
      <c r="E12" s="14">
        <f>D12-C12</f>
        <v/>
      </c>
      <c r="F12" s="25" t="inlineStr">
        <is>
          <t>Conditional</t>
        </is>
      </c>
      <c r="G12" s="2" t="inlineStr">
        <is>
          <t>-</t>
        </is>
      </c>
      <c r="H12" s="2" t="inlineStr">
        <is>
          <t>NEW - not in signed SOW. Held pending A-10</t>
        </is>
      </c>
    </row>
    <row r="13" ht="30" customHeight="1">
      <c r="A13" s="18" t="inlineStr">
        <is>
          <t>WS4.1</t>
        </is>
      </c>
      <c r="B13" s="2" t="inlineStr">
        <is>
          <t>Cloud object storage</t>
        </is>
      </c>
      <c r="C13" s="14" t="n">
        <v>0</v>
      </c>
      <c r="D13" s="14" t="n">
        <v>0</v>
      </c>
      <c r="E13" s="14">
        <f>D13-C13</f>
        <v/>
      </c>
      <c r="F13" s="31" t="inlineStr">
        <is>
          <t>Blocked</t>
        </is>
      </c>
      <c r="G13" s="2" t="inlineStr">
        <is>
          <t>-</t>
        </is>
      </c>
      <c r="H13" s="2" t="inlineStr">
        <is>
          <t>Still awaiting Decision 3. More urgent now B2C is confirmed</t>
        </is>
      </c>
    </row>
    <row r="14" ht="30" customHeight="1">
      <c r="A14" s="18" t="inlineStr">
        <is>
          <t>WS4.4</t>
        </is>
      </c>
      <c r="B14" s="2" t="inlineStr">
        <is>
          <t>GST e-invoicing &amp; e-way bill via GSP</t>
        </is>
      </c>
      <c r="C14" s="14" t="n">
        <v>0</v>
      </c>
      <c r="D14" s="14" t="n">
        <v>0</v>
      </c>
      <c r="E14" s="14">
        <f>D14-C14</f>
        <v/>
      </c>
      <c r="F14" s="13" t="inlineStr">
        <is>
          <t>On schedule</t>
        </is>
      </c>
      <c r="G14" s="2" t="inlineStr">
        <is>
          <t>-</t>
        </is>
      </c>
      <c r="H14" s="2" t="inlineStr">
        <is>
          <t>UNBLOCKED 11-Aug by Decision 2. Awaiting GSP vendor + credentials (A-11)</t>
        </is>
      </c>
    </row>
    <row r="15" ht="30" customHeight="1">
      <c r="A15" s="18" t="inlineStr">
        <is>
          <t>WS4.5</t>
        </is>
      </c>
      <c r="B15" s="2" t="inlineStr">
        <is>
          <t>Payment gateway (Razorpay)</t>
        </is>
      </c>
      <c r="C15" s="14" t="n">
        <v>0</v>
      </c>
      <c r="D15" s="14" t="n">
        <v>0</v>
      </c>
      <c r="E15" s="14">
        <f>D15-C15</f>
        <v/>
      </c>
      <c r="F15" s="25" t="inlineStr">
        <is>
          <t>Conditional</t>
        </is>
      </c>
      <c r="G15" s="2" t="inlineStr">
        <is>
          <t>-</t>
        </is>
      </c>
      <c r="H15" s="2" t="inlineStr">
        <is>
          <t>Moved from On hold to in scope - B2C requires online collection</t>
        </is>
      </c>
    </row>
    <row r="16" ht="30" customHeight="1">
      <c r="A16" s="18" t="inlineStr">
        <is>
          <t>WS5.1</t>
        </is>
      </c>
      <c r="B16" s="2" t="inlineStr">
        <is>
          <t>Automated test suite &amp; CI</t>
        </is>
      </c>
      <c r="C16" s="14" t="n">
        <v>0.45</v>
      </c>
      <c r="D16" s="14" t="n">
        <v>0.45</v>
      </c>
      <c r="E16" s="14">
        <f>D16-C16</f>
        <v/>
      </c>
      <c r="F16" s="30" t="inlineStr">
        <is>
          <t>Ahead of schedule</t>
        </is>
      </c>
      <c r="G16" s="2" t="inlineStr">
        <is>
          <t>50 unit tests + 90 integration checks, all passing</t>
        </is>
      </c>
      <c r="H16" s="2" t="inlineStr">
        <is>
          <t>Ongoing throughout project</t>
        </is>
      </c>
    </row>
    <row r="18">
      <c r="B18" s="27" t="inlineStr">
        <is>
          <t>OVERALL PROJECT COMPLETION (weighted)</t>
        </is>
      </c>
      <c r="D18" s="29">
        <f>'2. Schedule Baseline'!H45</f>
        <v/>
      </c>
    </row>
    <row r="19">
      <c r="B19" s="18" t="inlineStr">
        <is>
          <t>Completion is lower than last week's 23.9% because the denominator grew: Decision 1 added four activities and 12% of new effort to the programme. No completed work was lost.</t>
        </is>
      </c>
    </row>
    <row r="20">
      <c r="B20" s="18" t="inlineStr">
        <is>
          <t>No activity is DELAYED. Two decisions were received on 11-Aug and unblocked WS1.5 and WS4.4. WS4.1 remains blocked; four B2C activities are conditional on A-10.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6" customWidth="1" min="2" max="2"/>
    <col width="14" customWidth="1" min="3" max="3"/>
    <col width="24" customWidth="1" min="4" max="4"/>
    <col width="14" customWidth="1" min="5" max="5"/>
    <col width="11" customWidth="1" min="6" max="6"/>
    <col width="13" customWidth="1" min="7" max="7"/>
    <col width="11" customWidth="1" min="8" max="8"/>
    <col width="58" customWidth="1" min="9" max="9"/>
  </cols>
  <sheetData>
    <row r="1">
      <c r="A1" s="1" t="inlineStr">
        <is>
          <t>CONSOLIDATED ACTION TRACKER</t>
        </is>
      </c>
    </row>
    <row r="2" ht="26" customHeight="1">
      <c r="A2" s="2" t="inlineStr">
        <is>
          <t>Open actions remain on this tracker until formally closed. Ageing is calculated automatically from the date raised. A-02 and A-03 closed 11-Aug-2026; A-10 and A-11 raised the same day.</t>
        </is>
      </c>
    </row>
    <row r="4" ht="30" customHeight="1">
      <c r="A4" s="5" t="inlineStr">
        <is>
          <t>Ref</t>
        </is>
      </c>
      <c r="B4" s="5" t="inlineStr">
        <is>
          <t>Action Item</t>
        </is>
      </c>
      <c r="C4" s="5" t="inlineStr">
        <is>
          <t>Raised On</t>
        </is>
      </c>
      <c r="D4" s="5" t="inlineStr">
        <is>
          <t>Responsible</t>
        </is>
      </c>
      <c r="E4" s="5" t="inlineStr">
        <is>
          <t>Target Date</t>
        </is>
      </c>
      <c r="F4" s="5" t="inlineStr">
        <is>
          <t>Status</t>
        </is>
      </c>
      <c r="G4" s="5" t="inlineStr">
        <is>
          <t>Ageing (days)</t>
        </is>
      </c>
      <c r="H4" s="5" t="inlineStr">
        <is>
          <t>Priority</t>
        </is>
      </c>
      <c r="I4" s="5" t="inlineStr">
        <is>
          <t>Closure Remarks</t>
        </is>
      </c>
    </row>
    <row r="5" ht="34" customHeight="1">
      <c r="A5" s="27" t="inlineStr">
        <is>
          <t>A-01</t>
        </is>
      </c>
      <c r="B5" s="2" t="inlineStr">
        <is>
          <t>Approve the revised activity-wise schedule baseline (Sheet 2) so future reporting has an agreed reference</t>
        </is>
      </c>
      <c r="C5" s="32" t="n">
        <v>46241</v>
      </c>
      <c r="D5" s="13" t="inlineStr">
        <is>
          <t>SVV Balaji</t>
        </is>
      </c>
      <c r="E5" s="32" t="n">
        <v>46248</v>
      </c>
      <c r="F5" s="31" t="inlineStr">
        <is>
          <t>Open</t>
        </is>
      </c>
      <c r="G5" s="13">
        <f>IF(F5="Closed","",TODAY()-C5)</f>
        <v/>
      </c>
      <c r="H5" s="31" t="inlineStr">
        <is>
          <t>Critical</t>
        </is>
      </c>
      <c r="I5" s="2" t="inlineStr">
        <is>
          <t>Baseline revised 11-Aug for the added B2C scope - please review the revision</t>
        </is>
      </c>
    </row>
    <row r="6" ht="34" customHeight="1">
      <c r="A6" s="27" t="inlineStr">
        <is>
          <t>A-02</t>
        </is>
      </c>
      <c r="B6" s="2" t="inlineStr">
        <is>
          <t>Decision 1: confirm sales channel scope - B2B only, or consumer/marketplace channels also</t>
        </is>
      </c>
      <c r="C6" s="32" t="n">
        <v>46241</v>
      </c>
      <c r="D6" s="13" t="inlineStr">
        <is>
          <t>SVV Balaji</t>
        </is>
      </c>
      <c r="E6" s="32" t="n">
        <v>46246</v>
      </c>
      <c r="F6" s="30" t="inlineStr">
        <is>
          <t>Closed</t>
        </is>
      </c>
      <c r="G6" s="13">
        <f>IF(F6="Closed","",TODAY()-C6)</f>
        <v/>
      </c>
      <c r="H6" s="13" t="inlineStr">
        <is>
          <t>Critical</t>
        </is>
      </c>
      <c r="I6" s="2" t="inlineStr">
        <is>
          <t>CLOSED 11-Aug-2026. Both B2B and B2C confirmed, with separate pricing per channel. Scope impact raised as A-10</t>
        </is>
      </c>
    </row>
    <row r="7" ht="34" customHeight="1">
      <c r="A7" s="27" t="inlineStr">
        <is>
          <t>A-03</t>
        </is>
      </c>
      <c r="B7" s="2" t="inlineStr">
        <is>
          <t>Decision 2: confirm GST e-invoicing applicability and preferred provider</t>
        </is>
      </c>
      <c r="C7" s="32" t="n">
        <v>46241</v>
      </c>
      <c r="D7" s="13" t="inlineStr">
        <is>
          <t>SVV Balaji - Finance</t>
        </is>
      </c>
      <c r="E7" s="32" t="n">
        <v>46248</v>
      </c>
      <c r="F7" s="30" t="inlineStr">
        <is>
          <t>Closed</t>
        </is>
      </c>
      <c r="G7" s="13">
        <f>IF(F7="Closed","",TODAY()-C7)</f>
        <v/>
      </c>
      <c r="H7" s="13" t="inlineStr">
        <is>
          <t>Critical</t>
        </is>
      </c>
      <c r="I7" s="2" t="inlineStr">
        <is>
          <t>CLOSED 11-Aug-2026. GST Suvidha Provider route approved. Vendor and credentials now tracked as A-11</t>
        </is>
      </c>
    </row>
    <row r="8" ht="34" customHeight="1">
      <c r="A8" s="27" t="inlineStr">
        <is>
          <t>A-04</t>
        </is>
      </c>
      <c r="B8" s="2" t="inlineStr">
        <is>
          <t>Decision 3: approve cloud object storage provider and confirm whether QR process videos are required</t>
        </is>
      </c>
      <c r="C8" s="32" t="n">
        <v>46241</v>
      </c>
      <c r="D8" s="13" t="inlineStr">
        <is>
          <t>SVV Balaji</t>
        </is>
      </c>
      <c r="E8" s="32" t="n">
        <v>46248</v>
      </c>
      <c r="F8" s="31" t="inlineStr">
        <is>
          <t>Open</t>
        </is>
      </c>
      <c r="G8" s="13">
        <f>IF(F8="Closed","",TODAY()-C8)</f>
        <v/>
      </c>
      <c r="H8" s="31" t="inlineStr">
        <is>
          <t>Critical</t>
        </is>
      </c>
      <c r="I8" s="2" t="inlineStr">
        <is>
          <t>Priority raised from High to Critical - B2C drives media delivery volume well above internal use</t>
        </is>
      </c>
    </row>
    <row r="9" ht="34" customHeight="1">
      <c r="A9" s="27" t="inlineStr">
        <is>
          <t>A-05</t>
        </is>
      </c>
      <c r="B9" s="2" t="inlineStr">
        <is>
          <t>Decision 4: confirm multigrain (blended) production is in scope</t>
        </is>
      </c>
      <c r="C9" s="32" t="n">
        <v>46241</v>
      </c>
      <c r="D9" s="13" t="inlineStr">
        <is>
          <t>SVV Balaji</t>
        </is>
      </c>
      <c r="E9" s="32" t="n">
        <v>46248</v>
      </c>
      <c r="F9" s="31" t="inlineStr">
        <is>
          <t>Open</t>
        </is>
      </c>
      <c r="G9" s="13">
        <f>IF(F9="Closed","",TODAY()-C9)</f>
        <v/>
      </c>
      <c r="H9" s="13" t="inlineStr">
        <is>
          <t>High</t>
        </is>
      </c>
      <c r="I9" s="2" t="inlineStr"/>
    </row>
    <row r="10" ht="34" customHeight="1">
      <c r="A10" s="27" t="inlineStr">
        <is>
          <t>A-06</t>
        </is>
      </c>
      <c r="B10" s="2" t="inlineStr">
        <is>
          <t>Provide existing customer and product master data for migration planning</t>
        </is>
      </c>
      <c r="C10" s="32" t="n">
        <v>46241</v>
      </c>
      <c r="D10" s="13" t="inlineStr">
        <is>
          <t>SVV Balaji</t>
        </is>
      </c>
      <c r="E10" s="32" t="n">
        <v>46262</v>
      </c>
      <c r="F10" s="31" t="inlineStr">
        <is>
          <t>Open</t>
        </is>
      </c>
      <c r="G10" s="13">
        <f>IF(F10="Closed","",TODAY()-C10)</f>
        <v/>
      </c>
      <c r="H10" s="13" t="inlineStr">
        <is>
          <t>Medium</t>
        </is>
      </c>
      <c r="I10" s="2" t="inlineStr">
        <is>
          <t>Now also needs consumer-facing product descriptions and images for the B2C catalogue</t>
        </is>
      </c>
    </row>
    <row r="11" ht="34" customHeight="1">
      <c r="A11" s="27" t="inlineStr">
        <is>
          <t>A-07</t>
        </is>
      </c>
      <c r="B11" s="2" t="inlineStr">
        <is>
          <t>Nominate SVV Balaji UAT participants and confirm availability window</t>
        </is>
      </c>
      <c r="C11" s="32" t="n">
        <v>46241</v>
      </c>
      <c r="D11" s="13" t="inlineStr">
        <is>
          <t>SVV Balaji</t>
        </is>
      </c>
      <c r="E11" s="32" t="n">
        <v>46262</v>
      </c>
      <c r="F11" s="31" t="inlineStr">
        <is>
          <t>Open</t>
        </is>
      </c>
      <c r="G11" s="13">
        <f>IF(F11="Closed","",TODAY()-C11)</f>
        <v/>
      </c>
      <c r="H11" s="13" t="inlineStr">
        <is>
          <t>Medium</t>
        </is>
      </c>
      <c r="I11" s="2" t="inlineStr"/>
    </row>
    <row r="12" ht="34" customHeight="1">
      <c r="A12" s="27" t="inlineStr">
        <is>
          <t>A-08</t>
        </is>
      </c>
      <c r="B12" s="2" t="inlineStr">
        <is>
          <t>Confirm hosting upgrade path - current single VPS insufficient for media storage at scale</t>
        </is>
      </c>
      <c r="C12" s="32" t="n">
        <v>46241</v>
      </c>
      <c r="D12" s="13" t="inlineStr">
        <is>
          <t>Joint</t>
        </is>
      </c>
      <c r="E12" s="32" t="n">
        <v>46255</v>
      </c>
      <c r="F12" s="31" t="inlineStr">
        <is>
          <t>Open</t>
        </is>
      </c>
      <c r="G12" s="13">
        <f>IF(F12="Closed","",TODAY()-C12)</f>
        <v/>
      </c>
      <c r="H12" s="13" t="inlineStr">
        <is>
          <t>High</t>
        </is>
      </c>
      <c r="I12" s="2" t="inlineStr">
        <is>
          <t>More urgent under B2C - consumer QR traffic hits public endpoints</t>
        </is>
      </c>
    </row>
    <row r="13" ht="34" customHeight="1">
      <c r="A13" s="27" t="inlineStr">
        <is>
          <t>A-09</t>
        </is>
      </c>
      <c r="B13" s="2" t="inlineStr">
        <is>
          <t>Set up staging environment for SVV Balaji review access</t>
        </is>
      </c>
      <c r="C13" s="32" t="n">
        <v>46241</v>
      </c>
      <c r="D13" s="13" t="inlineStr">
        <is>
          <t>Appzeto</t>
        </is>
      </c>
      <c r="E13" s="32" t="n">
        <v>46255</v>
      </c>
      <c r="F13" s="31" t="inlineStr">
        <is>
          <t>Open</t>
        </is>
      </c>
      <c r="G13" s="13">
        <f>IF(F13="Closed","",TODAY()-C13)</f>
        <v/>
      </c>
      <c r="H13" s="13" t="inlineStr">
        <is>
          <t>Medium</t>
        </is>
      </c>
      <c r="I13" s="2" t="inlineStr"/>
    </row>
    <row r="14" ht="34" customHeight="1">
      <c r="A14" s="27" t="inlineStr">
        <is>
          <t>A-10</t>
        </is>
      </c>
      <c r="B14" s="2" t="inlineStr">
        <is>
          <t>Agree cost and timeline for the added B2C scope in writing, before the consumer workstream starts</t>
        </is>
      </c>
      <c r="C14" s="32" t="n">
        <v>46245</v>
      </c>
      <c r="D14" s="13" t="inlineStr">
        <is>
          <t>Ravi Tiwari / SVV Balaji</t>
        </is>
      </c>
      <c r="E14" s="32" t="n">
        <v>46252</v>
      </c>
      <c r="F14" s="31" t="inlineStr">
        <is>
          <t>Open</t>
        </is>
      </c>
      <c r="G14" s="13">
        <f>IF(F14="Closed","",TODAY()-C14)</f>
        <v/>
      </c>
      <c r="H14" s="31" t="inlineStr">
        <is>
          <t>Critical</t>
        </is>
      </c>
      <c r="I14" s="2" t="inlineStr">
        <is>
          <t>Consumer app, accounts, cart, payments and B2C invoicing are outside the signed SOW. B2B build continues meanwhile</t>
        </is>
      </c>
    </row>
    <row r="15" ht="34" customHeight="1">
      <c r="A15" s="27" t="inlineStr">
        <is>
          <t>A-11</t>
        </is>
      </c>
      <c r="B15" s="2" t="inlineStr">
        <is>
          <t>Confirm GSP vendor (ClearTax recommended), company GSTIN and sandbox/production API credentials</t>
        </is>
      </c>
      <c r="C15" s="32" t="n">
        <v>46245</v>
      </c>
      <c r="D15" s="13" t="inlineStr">
        <is>
          <t>SVV Balaji - Finance</t>
        </is>
      </c>
      <c r="E15" s="32" t="n">
        <v>46252</v>
      </c>
      <c r="F15" s="31" t="inlineStr">
        <is>
          <t>Open</t>
        </is>
      </c>
      <c r="G15" s="13">
        <f>IF(F15="Closed","",TODAY()-C15)</f>
        <v/>
      </c>
      <c r="H15" s="31" t="inlineStr">
        <is>
          <t>Critical</t>
        </is>
      </c>
      <c r="I15" s="2" t="inlineStr">
        <is>
          <t>Provider onboarding is an external process - needed early to leave runway before dispatch go-live</t>
        </is>
      </c>
    </row>
    <row r="17">
      <c r="B17" s="27" t="inlineStr">
        <is>
          <t>Open actions:</t>
        </is>
      </c>
      <c r="C17" s="27">
        <f>COUNTIF(F5:F15,"Open")</f>
        <v/>
      </c>
    </row>
    <row r="18">
      <c r="B18" s="27" t="inlineStr">
        <is>
          <t>Critical priority open:</t>
        </is>
      </c>
      <c r="C18" s="27">
        <f>COUNTIFS(F5:F15,"Open",H5:H15,"Critical")</f>
        <v/>
      </c>
    </row>
    <row r="19">
      <c r="B19" s="27" t="inlineStr">
        <is>
          <t>Closed this week:</t>
        </is>
      </c>
      <c r="C19" s="27">
        <f>COUNTIF(F5:F15,"Closed")</f>
        <v/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2026-08-11T07:07:21Z</dcterms:created>
  <dcterms:modified xmlns:dcterms="http://purl.org/dc/terms/" xmlns:xsi="http://www.w3.org/2001/XMLSchema-instance" xsi:type="dcterms:W3CDTF">2026-08-11T07:07:21Z</dcterms:modified>
</cp:coreProperties>
</file>